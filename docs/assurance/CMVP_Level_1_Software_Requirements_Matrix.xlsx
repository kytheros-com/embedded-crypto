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337f11da4f4e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85cb969883841df"/>
    <x:sheet xmlns:r="http://schemas.openxmlformats.org/officeDocument/2006/relationships" name="Requirements" sheetId="2" r:id="R5eae84616a0b4fbd"/>
    <x:sheet xmlns:r="http://schemas.openxmlformats.org/officeDocument/2006/relationships" name="Algorithm Profile" sheetId="3" r:id="Rc85cb33d527e4638"/>
    <x:sheet xmlns:r="http://schemas.openxmlformats.org/officeDocument/2006/relationships" name="ISO Gap Log" sheetId="4" r:id="R76279a8f1e6e47bd"/>
    <x:sheet xmlns:r="http://schemas.openxmlformats.org/officeDocument/2006/relationships" name="ISO Level 1 Index" sheetId="5" r:id="R2a1a28d84009433c"/>
    <x:sheet xmlns:r="http://schemas.openxmlformats.org/officeDocument/2006/relationships" name="Evidence Plan" sheetId="6" r:id="R91a37c9c21fd490e"/>
    <x:sheet xmlns:r="http://schemas.openxmlformats.org/officeDocument/2006/relationships" name="Source Register" sheetId="7" r:id="R92ea2782bb214522"/>
    <x:sheet xmlns:r="http://schemas.openxmlformats.org/officeDocument/2006/relationships" name="Read Me" sheetId="8" r:id="R6c5923ce4ab34b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1F1F1F"/>
      <x:name val="Arial"/>
    </x:font>
    <x:font>
      <x:b/>
      <x:sz val="15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u val="single"/>
      <x:sz val="9"/>
      <x:color rgb="FF0563C1"/>
      <x:name val="Arial"/>
    </x:font>
    <x:font>
      <x:b/>
      <x:sz val="10"/>
      <x:color rgb="FF17365D"/>
      <x:name val="Arial"/>
    </x:font>
    <x:font>
      <x:b/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/>
      <x:right/>
      <x:top/>
      <x:bottom style="thin">
        <x:color rgb="FF5B9BD5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B4C6E7"/>
      </x:bottom>
      <x:diagonal/>
    </x:border>
    <x:border>
      <x:left style="thin">
        <x:color rgb="FFB4C6E7"/>
      </x:left>
      <x:right style="thin">
        <x:color rgb="FFFFFFFF"/>
      </x:right>
      <x:top style="thin">
        <x:color rgb="FFB4C6E7"/>
      </x:top>
      <x:bottom/>
      <x:diagonal/>
    </x:border>
    <x:border>
      <x:left style="thin">
        <x:color rgb="FFFFFFFF"/>
      </x:left>
      <x:right style="thin">
        <x:color rgb="FFB4C6E7"/>
      </x:right>
      <x:top style="thin">
        <x:color rgb="FFB4C6E7"/>
      </x:top>
      <x:bottom/>
      <x:diagonal/>
    </x:border>
    <x:border>
      <x:left style="thin">
        <x:color rgb="FFB4C6E7"/>
      </x:left>
      <x:right/>
      <x:top/>
      <x:bottom/>
      <x:diagonal/>
    </x:border>
    <x:border>
      <x:left/>
      <x:right style="thin">
        <x:color rgb="FFB4C6E7"/>
      </x:right>
      <x:top/>
      <x:bottom/>
      <x:diagonal/>
    </x:border>
    <x:border>
      <x:left style="thin">
        <x:color rgb="FFB4C6E7"/>
      </x:left>
      <x:right/>
      <x:top/>
      <x:bottom style="thin">
        <x:color rgb="FFB4C6E7"/>
      </x:bottom>
      <x:diagonal/>
    </x:border>
    <x:border>
      <x:left/>
      <x:right style="thin">
        <x:color rgb="FFB4C6E7"/>
      </x:right>
      <x:top/>
      <x:bottom style="thin">
        <x:color rgb="FFB4C6E7"/>
      </x:bottom>
      <x:diagonal/>
    </x:border>
    <x:border>
      <x:left style="thin">
        <x:color rgb="FFB4C6E7"/>
      </x:left>
      <x:right/>
      <x:top style="thin">
        <x:color rgb="FFB4C6E7"/>
      </x:top>
      <x:bottom/>
      <x:diagonal/>
    </x:border>
    <x:border>
      <x:left/>
      <x:right/>
      <x:top style="thin">
        <x:color rgb="FFB4C6E7"/>
      </x:top>
      <x:bottom/>
      <x:diagonal/>
    </x:border>
    <x:border>
      <x:left/>
      <x:right style="thin">
        <x:color rgb="FFB4C6E7"/>
      </x:right>
      <x:top style="thin">
        <x:color rgb="FFB4C6E7"/>
      </x:top>
      <x:bottom/>
      <x:diagonal/>
    </x:border>
    <x:border>
      <x:left style="thin">
        <x:color rgb="FFD6B656"/>
      </x:left>
      <x:right/>
      <x:top style="thin">
        <x:color rgb="FFD6B656"/>
      </x:top>
      <x:bottom style="thin">
        <x:color rgb="FFD6B656"/>
      </x:bottom>
      <x:diagonal/>
    </x:border>
    <x:border>
      <x:left/>
      <x:right/>
      <x:top style="thin">
        <x:color rgb="FFD6B656"/>
      </x:top>
      <x:bottom style="thin">
        <x:color rgb="FFD6B656"/>
      </x:bottom>
      <x:diagonal/>
    </x:border>
    <x:border>
      <x:left/>
      <x:right style="thin">
        <x:color rgb="FFD6B656"/>
      </x:right>
      <x:top style="thin">
        <x:color rgb="FFD6B656"/>
      </x:top>
      <x:bottom style="thin">
        <x:color rgb="FFD6B656"/>
      </x:bottom>
      <x:diagonal/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/>
    </x:xf>
    <x:xf numFmtId="0" fontId="4" fillId="2" borderId="3" xfId="0" applyNumberFormat="1" applyFont="1" applyFill="1" applyBorder="1" applyAlignment="1">
      <x:alignment vertical="top"/>
    </x:xf>
    <x:xf numFmtId="0" fontId="4" fillId="2" borderId="4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4" fillId="2" borderId="3" xfId="0" applyNumberFormat="1" applyFont="1" applyFill="1" applyBorder="1" applyAlignment="1">
      <x:alignment horizontal="center" vertical="top" wrapText="1"/>
    </x:xf>
    <x:xf numFmtId="0" fontId="4" fillId="2" borderId="4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/>
    </x:xf>
    <x:xf numFmtId="0" fontId="6" fillId="3" borderId="5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/>
    </x:xf>
    <x:xf numFmtId="0" fontId="1" fillId="0" borderId="5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/>
    </x:xf>
    <x:xf numFmtId="0" fontId="4" fillId="2" borderId="4" xfId="0" applyNumberFormat="1" applyFont="1" applyFill="1" applyBorder="1" applyAlignment="1">
      <x:alignment horizontal="center" vertical="top"/>
    </x:xf>
    <x:xf numFmtId="0" fontId="4" fillId="2" borderId="6" xfId="0" applyNumberFormat="1" applyFont="1" applyFill="1" applyBorder="1" applyAlignment="1">
      <x:alignment horizontal="center" vertical="top"/>
    </x:xf>
    <x:xf numFmtId="0" fontId="4" fillId="2" borderId="7" xfId="0" applyNumberFormat="1" applyFont="1" applyFill="1" applyBorder="1" applyAlignment="1">
      <x:alignment horizontal="center" vertical="top"/>
    </x:xf>
    <x:xf numFmtId="0" fontId="6" fillId="3" borderId="8" xfId="0" applyNumberFormat="1" applyFont="1" applyFill="1" applyBorder="1" applyAlignment="1">
      <x:alignment vertical="top"/>
    </x:xf>
    <x:xf numFmtId="0" fontId="1" fillId="0" borderId="9" xfId="0" applyNumberFormat="1" applyFont="1" applyFill="1" applyBorder="1" applyAlignment="1">
      <x:alignment vertical="top"/>
    </x:xf>
    <x:xf numFmtId="0" fontId="6" fillId="3" borderId="10" xfId="0" applyNumberFormat="1" applyFont="1" applyFill="1" applyBorder="1" applyAlignment="1">
      <x:alignment vertical="top"/>
    </x:xf>
    <x:xf numFmtId="0" fontId="1" fillId="0" borderId="11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horizontal="center" vertical="top"/>
    </x:xf>
    <x:xf numFmtId="0" fontId="6" fillId="3" borderId="0" xfId="0" applyNumberFormat="1" applyFont="1" applyFill="1" applyBorder="1" applyAlignment="1">
      <x:alignment horizontal="center" vertical="top"/>
    </x:xf>
    <x:xf numFmtId="0" fontId="1" fillId="4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 wrapText="1"/>
    </x:xf>
    <x:xf numFmtId="0" fontId="6" fillId="3" borderId="12" xfId="0" applyNumberFormat="1" applyFont="1" applyFill="1" applyBorder="1" applyAlignment="1">
      <x:alignment horizontal="center" vertical="top"/>
    </x:xf>
    <x:xf numFmtId="0" fontId="6" fillId="4" borderId="13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6" fillId="3" borderId="8" xfId="0" applyNumberFormat="1" applyFont="1" applyFill="1" applyBorder="1" applyAlignment="1">
      <x:alignment horizontal="center" vertical="top"/>
    </x:xf>
    <x:xf numFmtId="0" fontId="1" fillId="0" borderId="9" xfId="0" applyNumberFormat="1" applyFont="1" applyFill="1" applyBorder="1" applyAlignment="1">
      <x:alignment vertical="top" wrapText="1"/>
    </x:xf>
    <x:xf numFmtId="0" fontId="6" fillId="3" borderId="10" xfId="0" applyNumberFormat="1" applyFont="1" applyFill="1" applyBorder="1" applyAlignment="1">
      <x:alignment horizontal="center" vertical="top"/>
    </x:xf>
    <x:xf numFmtId="0" fontId="6" fillId="4" borderId="5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/>
    </x:xf>
    <x:xf numFmtId="0" fontId="7" fillId="5" borderId="0" xfId="0" applyNumberFormat="1" applyFont="1" applyFill="1" applyBorder="1" applyAlignment="1">
      <x:alignment vertical="top"/>
    </x:xf>
    <x:xf numFmtId="0" fontId="7" fillId="5" borderId="15" xfId="0" applyNumberFormat="1" applyFont="1" applyFill="1" applyBorder="1" applyAlignment="1">
      <x:alignment vertical="top"/>
    </x:xf>
    <x:xf numFmtId="0" fontId="7" fillId="5" borderId="16" xfId="0" applyNumberFormat="1" applyFont="1" applyFill="1" applyBorder="1" applyAlignment="1">
      <x:alignment vertical="top"/>
    </x:xf>
    <x:xf numFmtId="0" fontId="7" fillId="5" borderId="17" xfId="0" applyNumberFormat="1" applyFont="1" applyFill="1" applyBorder="1" applyAlignment="1">
      <x:alignment vertical="top"/>
    </x:xf>
    <x:xf numFmtId="0" fontId="7" fillId="5" borderId="15" xfId="0" applyNumberFormat="1" applyFont="1" applyFill="1" applyBorder="1" applyAlignment="1">
      <x:alignment vertical="top" wrapText="1"/>
    </x:xf>
    <x:xf numFmtId="0" fontId="7" fillId="5" borderId="16" xfId="0" applyNumberFormat="1" applyFont="1" applyFill="1" applyBorder="1" applyAlignment="1">
      <x:alignment vertical="top" wrapText="1"/>
    </x:xf>
    <x:xf numFmtId="0" fontId="7" fillId="5" borderId="17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a437f8c0004be8" /><Relationship Type="http://schemas.openxmlformats.org/officeDocument/2006/relationships/theme" Target="/xl/theme/theme1.xml" Id="Re5c04265bdab4055" /><Relationship Type="http://schemas.openxmlformats.org/officeDocument/2006/relationships/sharedStrings" Target="/xl/sharedStrings.xml" Id="R2319892ffb334c66" /><Relationship Type="http://schemas.openxmlformats.org/officeDocument/2006/relationships/worksheet" Target="/xl/worksheets/sheet1.xml" Id="Ra85cb969883841df" /><Relationship Type="http://schemas.openxmlformats.org/officeDocument/2006/relationships/worksheet" Target="/xl/worksheets/sheet2.xml" Id="R5eae84616a0b4fbd" /><Relationship Type="http://schemas.openxmlformats.org/officeDocument/2006/relationships/worksheet" Target="/xl/worksheets/sheet3.xml" Id="Rc85cb33d527e4638" /><Relationship Type="http://schemas.openxmlformats.org/officeDocument/2006/relationships/worksheet" Target="/xl/worksheets/sheet4.xml" Id="R76279a8f1e6e47bd" /><Relationship Type="http://schemas.openxmlformats.org/officeDocument/2006/relationships/worksheet" Target="/xl/worksheets/sheet5.xml" Id="R2a1a28d84009433c" /><Relationship Type="http://schemas.openxmlformats.org/officeDocument/2006/relationships/worksheet" Target="/xl/worksheets/sheet6.xml" Id="R91a37c9c21fd490e" /><Relationship Type="http://schemas.openxmlformats.org/officeDocument/2006/relationships/worksheet" Target="/xl/worksheets/sheet7.xml" Id="R92ea2782bb214522" /><Relationship Type="http://schemas.openxmlformats.org/officeDocument/2006/relationships/worksheet" Target="/xl/worksheets/sheet8.xml" Id="R6c5923ce4ab34b19" /></Relationships>
</file>

<file path=xl/tables/table1.xml><?xml version="1.0" encoding="utf-8"?>
<x:table xmlns:x="http://schemas.openxmlformats.org/spreadsheetml/2006/main" id="1" name="RequirementsTable" displayName="RequirementsTable" ref="A6:L79" headerRowCount="1" totalsRowCount="0" totalsRowShown="0">
  <x:tableColumns count="12">
    <x:tableColumn id="1" name="ID"/>
    <x:tableColumn id="2" name="Area"/>
    <x:tableColumn id="3" name="Requirement"/>
    <x:tableColumn id="4" name="Applicability"/>
    <x:tableColumn id="5" name="Scope"/>
    <x:tableColumn id="6" name="Primary source"/>
    <x:tableColumn id="7" name="Primary citation"/>
    <x:tableColumn id="8" name="Additional citation"/>
    <x:tableColumn id="9" name="ISO gap?"/>
    <x:tableColumn id="10" name="Expected evidence"/>
    <x:tableColumn id="11" name="Project interpretation / action"/>
    <x:tableColumn id="12" name="Review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gorithmProfileTable" displayName="AlgorithmProfileTable" ref="A6:J19" headerRowCount="1" totalsRowCount="0" totalsRowShown="0">
  <x:tableColumns count="10">
    <x:tableColumn id="1" name="Algorithm / service"/>
    <x:tableColumn id="2" name="Function"/>
    <x:tableColumn id="3" name="Module scope"/>
    <x:tableColumn id="4" name="Target parameter set"/>
    <x:tableColumn id="5" name="Algorithm authority"/>
    <x:tableColumn id="6" name="CMVP authority"/>
    <x:tableColumn id="7" name="Validation mechanism"/>
    <x:tableColumn id="8" name="Required self-tests"/>
    <x:tableColumn id="9" name="Module-level dependencies"/>
    <x:tableColumn id="10" name="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oGapTable" displayName="IsoGapTable" ref="A6:G20" headerRowCount="1" totalsRowCount="0" totalsRowShown="0">
  <x:tableColumns count="7">
    <x:tableColumn id="1" name="Gap ID"/>
    <x:tableColumn id="2" name="Requirement area"/>
    <x:tableColumn id="3" name="Controlling ISO clauses"/>
    <x:tableColumn id="4" name="Missing information"/>
    <x:tableColumn id="5" name="Priority"/>
    <x:tableColumn id="6" name="Required manual action"/>
    <x:tableColumn id="7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soLevel1Table" displayName="IsoLevel1Table" ref="A6:L246" headerRowCount="1" totalsRowCount="0" totalsRowShown="0">
  <x:tableColumns count="12">
    <x:tableColumn id="1" name="Assertion ID"/>
    <x:tableColumn id="2" name="Area"/>
    <x:tableColumn id="3" name="Requirement focus"/>
    <x:tableColumn id="4" name="Project applicability"/>
    <x:tableColumn id="5" name="Applicability basis"/>
    <x:tableColumn id="6" name="ISO/IEC 19790 source"/>
    <x:tableColumn id="7" name="ISO/IEC 24759 source"/>
    <x:tableColumn id="8" name="Vendor evidence IDs"/>
    <x:tableColumn id="9" name="Tester evidence IDs"/>
    <x:tableColumn id="10" name="NIST modification / replacement"/>
    <x:tableColumn id="11" name="Expected project evidence"/>
    <x:tableColumn id="12" name="Review 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videncePlanTable" displayName="EvidencePlanTable" ref="A6:G26" headerRowCount="1" totalsRowCount="0" totalsRowShown="0">
  <x:tableColumns count="7">
    <x:tableColumn id="1" name="Evidence ID"/>
    <x:tableColumn id="2" name="Artifact"/>
    <x:tableColumn id="3" name="Required contents"/>
    <x:tableColumn id="4" name="Requirement areas"/>
    <x:tableColumn id="5" name="Recommended form"/>
    <x:tableColumn id="6" name="Owner"/>
    <x:tableColumn id="7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RegisterTable" displayName="SourceRegisterTable" ref="A6:G38" headerRowCount="1" totalsRowCount="0" totalsRowShown="0">
  <x:tableColumns count="7">
    <x:tableColumn id="1" name="Document"/>
    <x:tableColumn id="2" name="Title / subject"/>
    <x:tableColumn id="3" name="Version or date"/>
    <x:tableColumn id="4" name="Role in validation"/>
    <x:tableColumn id="5" name="Authority type"/>
    <x:tableColumn id="6" name="Review status"/>
    <x:tableColumn id="7" name="Official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dff38bad2141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6e0fd8d5a445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2d103405684a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a10c7d5da5d49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e4132ef50e741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6cca443fed40a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4" max="4" width="6" hidden="0" customWidth="1"/>
    <x:col min="5" max="5" width="34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CMVP Level 1 Software Module — Requirements Overview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Gap-first traceability view for the narrow CNSA-oriented module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31" t="str">
        <x:v>Metric</x:v>
      </x:c>
      <x:c r="B6" s="32" t="str">
        <x:v>Count</x:v>
      </x:c>
      <x:c r="C6" s="2"/>
      <x:c r="D6" s="37" t="str">
        <x:v>Critical findings</x:v>
      </x:c>
      <x:c r="E6" s="37"/>
      <x:c r="F6" s="37"/>
      <x:c r="G6" s="37"/>
      <x:c r="H6" s="37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2" customHeight="1">
      <x:c r="A7" s="33" t="str">
        <x:v>Total requirements</x:v>
      </x:c>
      <x:c r="B7" s="34" t="n">
        <x:f>ROWS(RequirementsTable[ID])</x:f>
        <x:v>73</x:v>
      </x:c>
      <x:c r="C7" s="2"/>
      <x:c r="D7" s="42" t="str">
        <x:v>1</x:v>
      </x:c>
      <x:c r="E7" s="43" t="str">
        <x:v>Historical ISO source gap is closed</x:v>
      </x:c>
      <x:c r="F7" s="44" t="str">
        <x:v>NIST supplied the controlling editions; every Level 1 assertion and subordinate VE/TE identifier is now indexed for project traceability.</x:v>
      </x:c>
      <x:c r="G7" s="44"/>
      <x:c r="H7" s="45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2" customHeight="1">
      <x:c r="A8" s="33" t="str">
        <x:v>Required</x:v>
      </x:c>
      <x:c r="B8" s="34" t="n">
        <x:f>COUNTIF(RequirementsTable[Applicability],"Required")</x:f>
        <x:v>54</x:v>
      </x:c>
      <x:c r="C8" s="2"/>
      <x:c r="D8" s="46" t="str">
        <x:v>2</x:v>
      </x:c>
      <x:c r="E8" s="41" t="str">
        <x:v>Stateful signing conflicts with Level 1 software scope</x:v>
      </x:c>
      <x:c r="F8" s="20" t="str">
        <x:v>LMS/HSS and XMSS/XMSSMT key generation/signature generation require a hardware module with Level 3+ physical security under SP 800-208/IG.</x:v>
      </x:c>
      <x:c r="G8" s="20"/>
      <x:c r="H8" s="47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2" customHeight="1">
      <x:c r="A9" s="33" t="str">
        <x:v>Conditional / design choice</x:v>
      </x:c>
      <x:c r="B9" s="34" t="n">
        <x:f>COUNTIF(RequirementsTable[Applicability],"Conditional")+COUNTIF(RequirementsTable[Applicability],"Design choice")</x:f>
        <x:v>14</x:v>
      </x:c>
      <x:c r="C9" s="2"/>
      <x:c r="D9" s="46" t="str">
        <x:v>3</x:v>
      </x:c>
      <x:c r="E9" s="41" t="str">
        <x:v>Entropy architecture is an early critical-path decision</x:v>
      </x:c>
      <x:c r="F9" s="20" t="str">
        <x:v>ML-KEM/ML-DSA randomness can trigger SP 800-90B/90C, ESV/RBG, OE-specific evidence, caveats, and SSP-boundary rules.</x:v>
      </x:c>
      <x:c r="G9" s="20"/>
      <x:c r="H9" s="47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2" customHeight="1">
      <x:c r="A10" s="33" t="str">
        <x:v>Blocked by assumed scope</x:v>
      </x:c>
      <x:c r="B10" s="34" t="n">
        <x:f>COUNTIF(RequirementsTable[Applicability],"Blocked")</x:f>
        <x:v>2</x:v>
      </x:c>
      <x:c r="C10" s="2"/>
      <x:c r="D10" s="46" t="str">
        <x:v>4</x:v>
      </x:c>
      <x:c r="E10" s="41" t="str">
        <x:v>CAVP is necessary but incomplete</x:v>
      </x:c>
      <x:c r="F10" s="20" t="str">
        <x:v>The CSTL must demonstrate algorithm-standard requirements not covered by ACVP tests.</x:v>
      </x:c>
      <x:c r="G10" s="20"/>
      <x:c r="H10" s="47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2" customHeight="1">
      <x:c r="A11" s="35" t="str">
        <x:v>ISO-mapped requirement rows</x:v>
      </x:c>
      <x:c r="B11" s="36" t="n">
        <x:f>COUNTIF(RequirementsTable[Review status],"ISO mapped")</x:f>
        <x:v>10</x:v>
      </x:c>
      <x:c r="C11" s="2"/>
      <x:c r="D11" s="48" t="str">
        <x:v>5</x:v>
      </x:c>
      <x:c r="E11" s="49" t="str">
        <x:v>Keep the initial OE and service surface small</x:v>
      </x:c>
      <x:c r="F11" s="28" t="str">
        <x:v>Every extra implementation, CPU path, platform, exposed algorithm, mode, or non-approved service expands certificates, self-tests, evidence, and regression scope.</x:v>
      </x:c>
      <x:c r="G11" s="28"/>
      <x:c r="H11" s="50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2" customHeight="1">
      <x:c r="A14" s="56" t="str">
        <x:v>The ISO Level 1 Index closes the source-access gap: 240 Level 1 assertions and all subordinate VE/TE identifiers are traceable without redistributing licensed standard text.</x:v>
      </x:c>
      <x:c r="B14" s="57"/>
      <x:c r="C14" s="57"/>
      <x:c r="D14" s="57"/>
      <x:c r="E14" s="57"/>
      <x:c r="F14" s="57"/>
      <x:c r="G14" s="57"/>
      <x:c r="H14" s="58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31" t="str">
        <x:v>ISO Level 1 index</x:v>
      </x:c>
      <x:c r="B17" s="32" t="str">
        <x:v>Count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33" t="str">
        <x:v>Assertions</x:v>
      </x:c>
      <x:c r="B18" s="34" t="n">
        <x:f>ROWS(IsoLevel1Table[Assertion ID])</x:f>
        <x:v>240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33" t="str">
        <x:v>Required for proposed profile</x:v>
      </x:c>
      <x:c r="B19" s="34" t="n">
        <x:f>COUNTIF(IsoLevel1Table[Project applicability],"Required")</x:f>
        <x:v>166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33" t="str">
        <x:v>Conditional / excluded</x:v>
      </x:c>
      <x:c r="B20" s="34" t="n">
        <x:f>COUNTIF(IsoLevel1Table[Project applicability],"Conditional")+COUNTIF(IsoLevel1Table[Project applicability],"Excluded service")</x:f>
        <x:v>42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33" t="str">
        <x:v>Not applicable / not claimed</x:v>
      </x:c>
      <x:c r="B21" s="34" t="n">
        <x:f>COUNTIF(IsoLevel1Table[Project applicability],"Not applicable")+COUNTIF(IsoLevel1Table[Project applicability],"Not claimed")</x:f>
        <x:v>32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33" t="str">
        <x:v>Vendor-evidence identifiers</x:v>
      </x:c>
      <x:c r="B22" s="34" t="n">
        <x:v>229</x:v>
      </x:c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35" t="str">
        <x:v>Tester-evidence identifiers</x:v>
      </x:c>
      <x:c r="B23" s="36" t="n">
        <x:v>344</x:v>
      </x:c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H2"/>
    <x:mergeCell ref="A3:H3"/>
    <x:mergeCell ref="D6:H6"/>
    <x:mergeCell ref="F7:H7"/>
    <x:mergeCell ref="F8:H8"/>
    <x:mergeCell ref="F9:H9"/>
    <x:mergeCell ref="F10:H10"/>
    <x:mergeCell ref="F11:H11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54" hidden="0" customWidth="1"/>
    <x:col min="4" max="4" width="16" hidden="0" customWidth="1"/>
    <x:col min="5" max="5" width="18" hidden="0" customWidth="1"/>
    <x:col min="6" max="6" width="22" hidden="0" customWidth="1"/>
    <x:col min="7" max="7" width="24" hidden="0" customWidth="1"/>
    <x:col min="8" max="8" width="26" hidden="0" customWidth="1"/>
    <x:col min="9" max="9" width="18" hidden="0" customWidth="1"/>
    <x:col min="10" max="10" width="34" hidden="0" customWidth="1"/>
    <x:col min="11" max="11" width="42" hidden="0" customWidth="1"/>
    <x:col min="12" max="12" width="1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Level 1 Software CMVP Requirements Matrix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NIST/CMVP-derived requirements for a narrow CNSA 2.0 cryptographic module — snapshot 2026-10-02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ID</x:v>
      </x:c>
      <x:c r="B6" s="18" t="str">
        <x:v>Area</x:v>
      </x:c>
      <x:c r="C6" s="18" t="str">
        <x:v>Requirement</x:v>
      </x:c>
      <x:c r="D6" s="18" t="str">
        <x:v>Applicability</x:v>
      </x:c>
      <x:c r="E6" s="18" t="str">
        <x:v>Scope</x:v>
      </x:c>
      <x:c r="F6" s="18" t="str">
        <x:v>Primary source</x:v>
      </x:c>
      <x:c r="G6" s="18" t="str">
        <x:v>Primary citation</x:v>
      </x:c>
      <x:c r="H6" s="18" t="str">
        <x:v>Additional citation</x:v>
      </x:c>
      <x:c r="I6" s="18" t="str">
        <x:v>ISO gap?</x:v>
      </x:c>
      <x:c r="J6" s="18" t="str">
        <x:v>Expected evidence</x:v>
      </x:c>
      <x:c r="K6" s="18" t="str">
        <x:v>Project interpretation / action</x:v>
      </x:c>
      <x:c r="L6" s="19" t="str">
        <x:v>Review status</x:v>
      </x:c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72" customHeight="1">
      <x:c r="A7" s="20" t="str">
        <x:v>PROC-001</x:v>
      </x:c>
      <x:c r="B7" s="20" t="str">
        <x:v>Program process</x:v>
      </x:c>
      <x:c r="C7" s="20" t="str">
        <x:v>Contract with an NVLAP-accredited CSTL; the vendor supplies the module and necessary documentation for independent testing.</x:v>
      </x:c>
      <x:c r="D7" s="20" t="str">
        <x:v>Required</x:v>
      </x:c>
      <x:c r="E7" s="20" t="str">
        <x:v>All / software</x:v>
      </x:c>
      <x:c r="F7" s="20" t="str">
        <x:v>CMVP Management Manual</x:v>
      </x:c>
      <x:c r="G7" s="20" t="str">
        <x:v>2.6.1; 4.1.1</x:v>
      </x:c>
      <x:c r="H7" s="20" t="str">
        <x:v>—</x:v>
      </x:c>
      <x:c r="I7" s="20" t="str">
        <x:v>No</x:v>
      </x:c>
      <x:c r="J7" s="20" t="str">
        <x:v>Contract; module delivery record; document index</x:v>
      </x:c>
      <x:c r="K7" s="20" t="str">
        <x:v>Engage a lab early enough to review boundary, entropy, and OE strategy before design freezes.</x:v>
      </x:c>
      <x:c r="L7" s="20" t="str">
        <x:v>Open</x:v>
      </x:c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72" customHeight="1">
      <x:c r="A8" s="20" t="str">
        <x:v>PROC-002</x:v>
      </x:c>
      <x:c r="B8" s="20" t="str">
        <x:v>Program process</x:v>
      </x:c>
      <x:c r="C8" s="20" t="str">
        <x:v>Define the cryptographic boundary, approved modes, services, entropy strategy, algorithm strategy, and information used to generate the non-proprietary Security Policy.</x:v>
      </x:c>
      <x:c r="D8" s="20" t="str">
        <x:v>Required</x:v>
      </x:c>
      <x:c r="E8" s="20" t="str">
        <x:v>All / software</x:v>
      </x:c>
      <x:c r="F8" s="20" t="str">
        <x:v>CMVP Management Manual</x:v>
      </x:c>
      <x:c r="G8" s="20" t="str">
        <x:v>2.6.1</x:v>
      </x:c>
      <x:c r="H8" s="20" t="str">
        <x:v>SP 800-140Br1 §§3.1–3.3</x:v>
      </x:c>
      <x:c r="I8" s="20" t="str">
        <x:v>Mapped in ISO Level 1 Index</x:v>
      </x:c>
      <x:c r="J8" s="20" t="str">
        <x:v>Architecture specification; service inventory; entropy and algorithm plans</x:v>
      </x:c>
      <x:c r="K8" s="20" t="str">
        <x:v>Treat these as controlled design artifacts, not end-of-project paperwork.</x:v>
      </x:c>
      <x:c r="L8" s="20" t="str">
        <x:v>Open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72" customHeight="1">
      <x:c r="A9" s="20" t="str">
        <x:v>PROC-003</x:v>
      </x:c>
      <x:c r="B9" s="20" t="str">
        <x:v>Program process</x:v>
      </x:c>
      <x:c r="C9" s="20" t="str">
        <x:v>Submit and test against the requirements and guidance current on the CMVP submission date.</x:v>
      </x:c>
      <x:c r="D9" s="20" t="str">
        <x:v>Required</x:v>
      </x:c>
      <x:c r="E9" s="20" t="str">
        <x:v>All / software</x:v>
      </x:c>
      <x:c r="F9" s="20" t="str">
        <x:v>CMVP Management Manual</x:v>
      </x:c>
      <x:c r="G9" s="20" t="str">
        <x:v>4.3.1</x:v>
      </x:c>
      <x:c r="H9" s="20" t="str">
        <x:v>4.1.1.1</x:v>
      </x:c>
      <x:c r="I9" s="20" t="str">
        <x:v>No</x:v>
      </x:c>
      <x:c r="J9" s="20" t="str">
        <x:v>Dated source baseline; change-monitoring log</x:v>
      </x:c>
      <x:c r="K9" s="20" t="str">
        <x:v>Re-baseline before formal submission because IG and supplemental web lists change without a new FIPS edition.</x:v>
      </x:c>
      <x:c r="L9" s="20" t="str">
        <x:v>Open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72" customHeight="1">
      <x:c r="A10" s="20" t="str">
        <x:v>PROC-004</x:v>
      </x:c>
      <x:c r="B10" s="20" t="str">
        <x:v>Program process</x:v>
      </x:c>
      <x:c r="C10" s="20" t="str">
        <x:v>Complete required cryptographic algorithm validations and any applicable entropy-source/RBG validations before the CSTL concludes module conformity.</x:v>
      </x:c>
      <x:c r="D10" s="20" t="str">
        <x:v>Required</x:v>
      </x:c>
      <x:c r="E10" s="20" t="str">
        <x:v>All / software</x:v>
      </x:c>
      <x:c r="F10" s="20" t="str">
        <x:v>CMVP Management Manual</x:v>
      </x:c>
      <x:c r="G10" s="20" t="str">
        <x:v>4.1.1.1 lines 915–918</x:v>
      </x:c>
      <x:c r="H10" s="20" t="str">
        <x:v>FIPS 140-3 §10</x:v>
      </x:c>
      <x:c r="I10" s="20" t="str">
        <x:v>No</x:v>
      </x:c>
      <x:c r="J10" s="20" t="str">
        <x:v>CAVP certificates; ESV/RBG certificate or permitted caveat evidence</x:v>
      </x:c>
      <x:c r="K10" s="20" t="str">
        <x:v>Algorithm certificates alone do not establish module validation.</x:v>
      </x:c>
      <x:c r="L10" s="20" t="str">
        <x:v>Open</x:v>
      </x:c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72" customHeight="1">
      <x:c r="A11" s="20" t="str">
        <x:v>PROC-005</x:v>
      </x:c>
      <x:c r="B11" s="20" t="str">
        <x:v>Program process</x:v>
      </x:c>
      <x:c r="C11" s="20" t="str">
        <x:v>Address each applicable Test Evidence item independently in the submission package.</x:v>
      </x:c>
      <x:c r="D11" s="20" t="str">
        <x:v>Required</x:v>
      </x:c>
      <x:c r="E11" s="20" t="str">
        <x:v>All / software</x:v>
      </x:c>
      <x:c r="F11" s="20" t="str">
        <x:v>CMVP Management Manual</x:v>
      </x:c>
      <x:c r="G11" s="20" t="str">
        <x:v>4.1.1.1 lines 917–919</x:v>
      </x:c>
      <x:c r="H11" s="20" t="str">
        <x:v>SP 800-140 §6</x:v>
      </x:c>
      <x:c r="I11" s="20" t="str">
        <x:v>Mapped in ISO Level 1 Index</x:v>
      </x:c>
      <x:c r="J11" s="20" t="str">
        <x:v>TE-indexed validation report</x:v>
      </x:c>
      <x:c r="K11" s="20" t="str">
        <x:v>Build the traceability system around AS/VE/TE identifiers.</x:v>
      </x:c>
      <x:c r="L11" s="20" t="str">
        <x:v>Open</x:v>
      </x:c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72" customHeight="1">
      <x:c r="A12" s="20" t="str">
        <x:v>PROC-006</x:v>
      </x:c>
      <x:c r="B12" s="20" t="str">
        <x:v>Program process</x:v>
      </x:c>
      <x:c r="C12" s="20" t="str">
        <x:v>Demonstrate requirements in the underlying algorithm standards that are not exercised by CAVP testing.</x:v>
      </x:c>
      <x:c r="D12" s="20" t="str">
        <x:v>Required</x:v>
      </x:c>
      <x:c r="E12" s="20" t="str">
        <x:v>All / software</x:v>
      </x:c>
      <x:c r="F12" s="20" t="str">
        <x:v>CMVP Management Manual</x:v>
      </x:c>
      <x:c r="G12" s="20" t="str">
        <x:v>2.6.2 lines 454–460</x:v>
      </x:c>
      <x:c r="H12" s="20" t="str">
        <x:v>Applicable algorithm standards</x:v>
      </x:c>
      <x:c r="I12" s="20" t="str">
        <x:v>No</x:v>
      </x:c>
      <x:c r="J12" s="20" t="str">
        <x:v>Supplemental algorithm conformance analysis and tests</x:v>
      </x:c>
      <x:c r="K12" s="20" t="str">
        <x:v>Do not equate an ACVP/CAVP certificate with complete standards conformance.</x:v>
      </x:c>
      <x:c r="L12" s="20" t="str">
        <x:v>Open</x:v>
      </x:c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72" customHeight="1">
      <x:c r="A13" s="20" t="str">
        <x:v>PROC-007</x:v>
      </x:c>
      <x:c r="B13" s="20" t="str">
        <x:v>Post-validation</x:v>
      </x:c>
      <x:c r="C13" s="20" t="str">
        <x:v>Route any module change through an applicable validation or revalidation process; uncontrolled changes invalidate validation.</x:v>
      </x:c>
      <x:c r="D13" s="20" t="str">
        <x:v>Required</x:v>
      </x:c>
      <x:c r="E13" s="20" t="str">
        <x:v>Validated module</x:v>
      </x:c>
      <x:c r="F13" s="20" t="str">
        <x:v>CMVP Management Manual</x:v>
      </x:c>
      <x:c r="G13" s="20" t="str">
        <x:v>2.6.1 lines 437–439; §7.1</x:v>
      </x:c>
      <x:c r="H13" s="20" t="str">
        <x:v>IG 11.A</x:v>
      </x:c>
      <x:c r="I13" s="20" t="str">
        <x:v>No</x:v>
      </x:c>
      <x:c r="J13" s="20" t="str">
        <x:v>Change-control procedure; impact analysis; release gate</x:v>
      </x:c>
      <x:c r="K13" s="20" t="str">
        <x:v>Cryptographic boundary artifacts and build reproducibility must support revalidation.</x:v>
      </x:c>
      <x:c r="L13" s="20" t="str">
        <x:v>Open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72" customHeight="1">
      <x:c r="A14" s="20" t="str">
        <x:v>PROC-008</x:v>
      </x:c>
      <x:c r="B14" s="20" t="str">
        <x:v>Post-validation</x:v>
      </x:c>
      <x:c r="C14" s="20" t="str">
        <x:v>Monitor and address security-relevant CVEs within the module boundary before and after validation.</x:v>
      </x:c>
      <x:c r="D14" s="20" t="str">
        <x:v>Required</x:v>
      </x:c>
      <x:c r="E14" s="20" t="str">
        <x:v>All / software</x:v>
      </x:c>
      <x:c r="F14" s="20" t="str">
        <x:v>CMVP Management Manual</x:v>
      </x:c>
      <x:c r="G14" s="20" t="str">
        <x:v>Annex A.2</x:v>
      </x:c>
      <x:c r="H14" s="20" t="str">
        <x:v>SP 800-140 §6.11; IG 11.A</x:v>
      </x:c>
      <x:c r="I14" s="20" t="str">
        <x:v>No</x:v>
      </x:c>
      <x:c r="J14" s="20" t="str">
        <x:v>SBOM; CVE monitoring log; assessments; remediation/revalidation records</x:v>
      </x:c>
      <x:c r="K14" s="20" t="str">
        <x:v>Certificate revocation is possible if relevant CVEs are not addressed.</x:v>
      </x:c>
      <x:c r="L14" s="20" t="str">
        <x:v>Open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72" customHeight="1">
      <x:c r="A15" s="20" t="str">
        <x:v>GEN-001</x:v>
      </x:c>
      <x:c r="B15" s="20" t="str">
        <x:v>Evidence quality</x:v>
      </x:c>
      <x:c r="C15" s="20" t="str">
        <x:v>A yes/no TE response is insufficient; cite vendor documentation and provide the required test, inspection, or operational detail.</x:v>
      </x:c>
      <x:c r="D15" s="20" t="str">
        <x:v>Required</x:v>
      </x:c>
      <x:c r="E15" s="20" t="str">
        <x:v>All levels</x:v>
      </x:c>
      <x:c r="F15" s="20" t="str">
        <x:v>SP 800-140</x:v>
      </x:c>
      <x:c r="G15" s="20" t="str">
        <x:v>§6, pp. 2–3</x:v>
      </x:c>
      <x:c r="H15" s="20" t="str">
        <x:v>CMVP Resources: TE Documentation Guidance</x:v>
      </x:c>
      <x:c r="I15" s="20" t="str">
        <x:v>No</x:v>
      </x:c>
      <x:c r="J15" s="20" t="str">
        <x:v>TE response template and completed assessments</x:v>
      </x:c>
      <x:c r="K15" s="20" t="str">
        <x:v>Use granular document section/page references and concise tester verification statements.</x:v>
      </x:c>
      <x:c r="L15" s="20" t="str">
        <x:v>Open</x:v>
      </x:c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72" customHeight="1">
      <x:c r="A16" s="20" t="str">
        <x:v>GEN-002</x:v>
      </x:c>
      <x:c r="B16" s="20" t="str">
        <x:v>Documentation</x:v>
      </x:c>
      <x:c r="C16" s="20" t="str">
        <x:v>Provide documentation satisfying ISO/IEC 19790 Annex A plus validation-authority and management documentation requirements.</x:v>
      </x:c>
      <x:c r="D16" s="20" t="str">
        <x:v>Required</x:v>
      </x:c>
      <x:c r="E16" s="20" t="str">
        <x:v>All levels</x:v>
      </x:c>
      <x:c r="F16" s="20" t="str">
        <x:v>SP 800-140A</x:v>
      </x:c>
      <x:c r="G16" s="20" t="str">
        <x:v>§6.1, ASA.01 / VEA.01.02</x:v>
      </x:c>
      <x:c r="H16" s="20" t="str">
        <x:v>ISO/IEC 19790 Annex A; ISO/IEC 24759 §6.13</x:v>
      </x:c>
      <x:c r="I16" s="20" t="str">
        <x:v>Mapped in ISO Level 1 Index</x:v>
      </x:c>
      <x:c r="J16" s="20" t="str">
        <x:v>Master document register and Annex-A crosswalk</x:v>
      </x:c>
      <x:c r="K16" s="20" t="str">
        <x:v>The NIST publication modifies but does not reproduce the full ISO documentation set.</x:v>
      </x:c>
      <x:c r="L16" s="20" t="str">
        <x:v>ISO mapped</x:v>
      </x:c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72" customHeight="1">
      <x:c r="A17" s="20" t="str">
        <x:v>GEN-003</x:v>
      </x:c>
      <x:c r="B17" s="20" t="str">
        <x:v>Security Policy</x:v>
      </x:c>
      <x:c r="C17" s="20" t="str">
        <x:v>Include every applicable ISO/IEC 19790 Annex B and ISO/IEC 24759 §6.14 requirement, in the Annex B order; mark inapplicable sections explicitly.</x:v>
      </x:c>
      <x:c r="D17" s="20" t="str">
        <x:v>Required</x:v>
      </x:c>
      <x:c r="E17" s="20" t="str">
        <x:v>All levels</x:v>
      </x:c>
      <x:c r="F17" s="20" t="str">
        <x:v>SP 800-140Br1</x:v>
      </x:c>
      <x:c r="G17" s="20" t="str">
        <x:v>§3.1</x:v>
      </x:c>
      <x:c r="H17" s="20" t="str">
        <x:v>ISO/IEC 19790 Annex B; ISO/IEC 24759 §6.14</x:v>
      </x:c>
      <x:c r="I17" s="20" t="str">
        <x:v>Mapped in ISO Level 1 Index</x:v>
      </x:c>
      <x:c r="J17" s="20" t="str">
        <x:v>Security Policy generated from current CMVP template/MIS</x:v>
      </x:c>
      <x:c r="K17" s="20" t="str">
        <x:v>Do not omit empty sections.</x:v>
      </x:c>
      <x:c r="L17" s="20" t="str">
        <x:v>ISO mapped</x:v>
      </x:c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72" customHeight="1">
      <x:c r="A18" s="20" t="str">
        <x:v>GEN-004</x:v>
      </x:c>
      <x:c r="B18" s="20" t="str">
        <x:v>Security Policy</x:v>
      </x:c>
      <x:c r="C18" s="20" t="str">
        <x:v>Use the current CMVP MIS schema, Security Policy template, and module-package support resources.</x:v>
      </x:c>
      <x:c r="D18" s="20" t="str">
        <x:v>Required</x:v>
      </x:c>
      <x:c r="E18" s="20" t="str">
        <x:v>Submission</x:v>
      </x:c>
      <x:c r="F18" s="20" t="str">
        <x:v>SP 800-140Br1</x:v>
      </x:c>
      <x:c r="G18" s="20" t="str">
        <x:v>§3.3</x:v>
      </x:c>
      <x:c r="H18" s="20" t="str">
        <x:v>CMVP SP 800-140B supplemental page</x:v>
      </x:c>
      <x:c r="I18" s="20" t="str">
        <x:v>No</x:v>
      </x:c>
      <x:c r="J18" s="20" t="str">
        <x:v>Validated MIS JSON; merged draft Security Policy; schema validation output</x:v>
      </x:c>
      <x:c r="K18" s="20" t="str">
        <x:v>Current page showed MIS schema 2.8.4 and Security Policy template 5.8 on the review date; recheck before submission.</x:v>
      </x:c>
      <x:c r="L18" s="20" t="str">
        <x:v>Open</x:v>
      </x:c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72" customHeight="1">
      <x:c r="A19" s="20" t="str">
        <x:v>SPEC-001</x:v>
      </x:c>
      <x:c r="B19" s="20" t="str">
        <x:v>Module specification</x:v>
      </x:c>
      <x:c r="C19" s="20" t="str">
        <x:v>Identify the module type as software and precisely define the logical cryptographic boundary and tested operational environment physical perimeter (TOEPP).</x:v>
      </x:c>
      <x:c r="D19" s="20" t="str">
        <x:v>Required</x:v>
      </x:c>
      <x:c r="E19" s="20" t="str">
        <x:v>Level 1 / software</x:v>
      </x:c>
      <x:c r="F19" s="20" t="str">
        <x:v>SP 800-140Br1</x:v>
      </x:c>
      <x:c r="G19" s="20" t="str">
        <x:v>§3.1 B.2.2; §3.3.2</x:v>
      </x:c>
      <x:c r="H19" s="20" t="str">
        <x:v>ISO/IEC 19790 §7.2</x:v>
      </x:c>
      <x:c r="I19" s="20" t="str">
        <x:v>Mapped in ISO Level 1 Index</x:v>
      </x:c>
      <x:c r="J19" s="20" t="str">
        <x:v>Boundary narrative; component list; TOEPP definition</x:v>
      </x:c>
      <x:c r="K19" s="20" t="str">
        <x:v>Define what library files, initialization code, self-test code, and metadata are inside.</x:v>
      </x:c>
      <x:c r="L19" s="20" t="str">
        <x:v>Open</x:v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72" customHeight="1">
      <x:c r="A20" s="20" t="str">
        <x:v>SPEC-002</x:v>
      </x:c>
      <x:c r="B20" s="20" t="str">
        <x:v>Module specification</x:v>
      </x:c>
      <x:c r="C20" s="20" t="str">
        <x:v>Provide a block diagram locating the software object relative to the OS, applications, cryptographic boundary, TOEPP, logical/physical layers, and interactions.</x:v>
      </x:c>
      <x:c r="D20" s="20" t="str">
        <x:v>Required</x:v>
      </x:c>
      <x:c r="E20" s="20" t="str">
        <x:v>Level 1 / software</x:v>
      </x:c>
      <x:c r="F20" s="20" t="str">
        <x:v>SP 800-140Br1</x:v>
      </x:c>
      <x:c r="G20" s="20" t="str">
        <x:v>§3.1 B.2.2</x:v>
      </x:c>
      <x:c r="H20" s="20" t="str">
        <x:v>SP 800-140Br1 §3.3.2.2</x:v>
      </x:c>
      <x:c r="I20" s="20" t="str">
        <x:v>No</x:v>
      </x:c>
      <x:c r="J20" s="20" t="str">
        <x:v>Layered architecture and data-flow diagram</x:v>
      </x:c>
      <x:c r="K20" s="20" t="str">
        <x:v>Include any CPU instruction/accelerator path used by an implementation.</x:v>
      </x:c>
      <x:c r="L20" s="20" t="str">
        <x:v>Open</x:v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72" customHeight="1">
      <x:c r="A21" s="20" t="str">
        <x:v>SPEC-003</x:v>
      </x:c>
      <x:c r="B21" s="20" t="str">
        <x:v>Module specification</x:v>
      </x:c>
      <x:c r="C21" s="20" t="str">
        <x:v>Identify excluded components and justify their exclusion from the cryptographic boundary, or state None.</x:v>
      </x:c>
      <x:c r="D21" s="20" t="str">
        <x:v>Required</x:v>
      </x:c>
      <x:c r="E21" s="20" t="str">
        <x:v>All / software</x:v>
      </x:c>
      <x:c r="F21" s="20" t="str">
        <x:v>SP 800-140Br1</x:v>
      </x:c>
      <x:c r="G21" s="20" t="str">
        <x:v>§3.3.2.3</x:v>
      </x:c>
      <x:c r="H21" s="20" t="str">
        <x:v>IG 2.3.D</x:v>
      </x:c>
      <x:c r="I21" s="20" t="str">
        <x:v>Mapped in ISO Level 1 Index</x:v>
      </x:c>
      <x:c r="J21" s="20" t="str">
        <x:v>Excluded-components table and rationale</x:v>
      </x:c>
      <x:c r="K21" s="20" t="str">
        <x:v>Rust standard-library/OS dependencies need clear boundary treatment.</x:v>
      </x:c>
      <x:c r="L21" s="20" t="str">
        <x:v>Open</x:v>
      </x:c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72" customHeight="1">
      <x:c r="A22" s="20" t="str">
        <x:v>SPEC-004</x:v>
      </x:c>
      <x:c r="B22" s="20" t="str">
        <x:v>Module specification</x:v>
      </x:c>
      <x:c r="C22" s="20" t="str">
        <x:v>Define each approved mode and the method for entering, exiting, and configuring it; document any degraded mode.</x:v>
      </x:c>
      <x:c r="D22" s="20" t="str">
        <x:v>Required</x:v>
      </x:c>
      <x:c r="E22" s="20" t="str">
        <x:v>All / software</x:v>
      </x:c>
      <x:c r="F22" s="20" t="str">
        <x:v>SP 800-140Br1</x:v>
      </x:c>
      <x:c r="G22" s="20" t="str">
        <x:v>§3.3.2.4</x:v>
      </x:c>
      <x:c r="H22" s="20" t="str">
        <x:v>ISO/IEC 19790 §7.2 and Annex B</x:v>
      </x:c>
      <x:c r="I22" s="20" t="str">
        <x:v>Mapped in ISO Level 1 Index</x:v>
      </x:c>
      <x:c r="J22" s="20" t="str">
        <x:v>Mode state definition; configuration guidance; tests</x:v>
      </x:c>
      <x:c r="K22" s="20" t="str">
        <x:v>Prefer a design with one approved-only operational mode and explicit error state.</x:v>
      </x:c>
      <x:c r="L22" s="20" t="str">
        <x:v>Open</x:v>
      </x:c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2" customHeight="1">
      <x:c r="A23" s="20" t="str">
        <x:v>SPEC-005</x:v>
      </x:c>
      <x:c r="B23" s="20" t="str">
        <x:v>Module specification</x:v>
      </x:c>
      <x:c r="C23" s="20" t="str">
        <x:v>List every approved, vendor-affirmed, non-approved allowed, and non-approved not-allowed algorithm and its use.</x:v>
      </x:c>
      <x:c r="D23" s="20" t="str">
        <x:v>Required</x:v>
      </x:c>
      <x:c r="E23" s="20" t="str">
        <x:v>All / software</x:v>
      </x:c>
      <x:c r="F23" s="20" t="str">
        <x:v>SP 800-140Br1</x:v>
      </x:c>
      <x:c r="G23" s="20" t="str">
        <x:v>§3.3.2.5</x:v>
      </x:c>
      <x:c r="H23" s="20" t="str">
        <x:v>SP 800-140C/D and IG 2.4.A</x:v>
      </x:c>
      <x:c r="I23" s="20" t="str">
        <x:v>No</x:v>
      </x:c>
      <x:c r="J23" s="20" t="str">
        <x:v>MIS algorithm tables; policy tables</x:v>
      </x:c>
      <x:c r="K23" s="20" t="str">
        <x:v>Avoid exposing non-approved cryptography in the validated boundary unless a clear need exists.</x:v>
      </x:c>
      <x:c r="L23" s="20" t="str">
        <x:v>Open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72" customHeight="1">
      <x:c r="A24" s="20" t="str">
        <x:v>SPEC-006</x:v>
      </x:c>
      <x:c r="B24" s="20" t="str">
        <x:v>Approved algorithms</x:v>
      </x:c>
      <x:c r="C24" s="20" t="str">
        <x:v>Bind each approved algorithm implementation used by the module to the appropriate CAVP certificate and operational environment.</x:v>
      </x:c>
      <x:c r="D24" s="20" t="str">
        <x:v>Required</x:v>
      </x:c>
      <x:c r="E24" s="20" t="str">
        <x:v>All / software</x:v>
      </x:c>
      <x:c r="F24" s="20" t="str">
        <x:v>FIPS 140-3 IG</x:v>
      </x:c>
      <x:c r="G24" s="20" t="str">
        <x:v>2.3.A</x:v>
      </x:c>
      <x:c r="H24" s="20" t="str">
        <x:v>SP 800-140Br1 §3.3.2.5; Management Manual §4.9.3.5</x:v>
      </x:c>
      <x:c r="I24" s="20" t="str">
        <x:v>No</x:v>
      </x:c>
      <x:c r="J24" s="20" t="str">
        <x:v>CAVP mapping by implementation, service, and OE</x:v>
      </x:c>
      <x:c r="K24" s="20" t="str">
        <x:v>Retest when a distinct implementation or relevant OE requires a separate certificate.</x:v>
      </x:c>
      <x:c r="L24" s="20" t="str">
        <x:v>Open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72" customHeight="1">
      <x:c r="A25" s="20" t="str">
        <x:v>SPEC-007</x:v>
      </x:c>
      <x:c r="B25" s="20" t="str">
        <x:v>Approved service indicator</x:v>
      </x:c>
      <x:c r="C25" s="20" t="str">
        <x:v>Provide an indicator when an approved security service is successfully performed; document how the operator obtains and interprets it.</x:v>
      </x:c>
      <x:c r="D25" s="20" t="str">
        <x:v>Required</x:v>
      </x:c>
      <x:c r="E25" s="20" t="str">
        <x:v>All levels</x:v>
      </x:c>
      <x:c r="F25" s="20" t="str">
        <x:v>FIPS 140-3 IG</x:v>
      </x:c>
      <x:c r="G25" s="20" t="str">
        <x:v>2.4.C</x:v>
      </x:c>
      <x:c r="H25" s="20" t="str">
        <x:v>ISO/IEC 19790 AS02.24</x:v>
      </x:c>
      <x:c r="I25" s="20" t="str">
        <x:v>Mapped in ISO Level 1 Index</x:v>
      </x:c>
      <x:c r="J25" s="20" t="str">
        <x:v>API return/status design; service-to-indicator mapping; tests</x:v>
      </x:c>
      <x:c r="K25" s="20" t="str">
        <x:v>A successful return can be an implicit global indicator if the module contains approved services only and the guidance conditions are met.</x:v>
      </x:c>
      <x:c r="L25" s="20" t="str">
        <x:v>Open</x:v>
      </x:c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72" customHeight="1">
      <x:c r="A26" s="20" t="str">
        <x:v>SPEC-008</x:v>
      </x:c>
      <x:c r="B26" s="20" t="str">
        <x:v>Processor paths</x:v>
      </x:c>
      <x:c r="C26" s="20" t="str">
        <x:v>Identify and diagram processor algorithm accelerators or processor algorithm implementations used by each algorithm path.</x:v>
      </x:c>
      <x:c r="D26" s="20" t="str">
        <x:v>Conditional</x:v>
      </x:c>
      <x:c r="E26" s="20" t="str">
        <x:v>Software using CPU acceleration</x:v>
      </x:c>
      <x:c r="F26" s="20" t="str">
        <x:v>FIPS 140-3 IG</x:v>
      </x:c>
      <x:c r="G26" s="20" t="str">
        <x:v>2.3.C</x:v>
      </x:c>
      <x:c r="H26" s="20" t="str">
        <x:v>SP 800-140Br1 §3.1 B.2.2</x:v>
      </x:c>
      <x:c r="I26" s="20" t="str">
        <x:v>No</x:v>
      </x:c>
      <x:c r="J26" s="20" t="str">
        <x:v>Dispatch design; compiled-feature matrix; diagrams; algorithm certificates</x:v>
      </x:c>
      <x:c r="K26" s="20" t="str">
        <x:v>Rust target-feature dispatch can create multiple security-function implementations requiring separate treatment.</x:v>
      </x:c>
      <x:c r="L26" s="20" t="str">
        <x:v>Open</x:v>
      </x:c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72" customHeight="1">
      <x:c r="A27" s="20" t="str">
        <x:v>IF-001</x:v>
      </x:c>
      <x:c r="B27" s="20" t="str">
        <x:v>Interfaces</x:v>
      </x:c>
      <x:c r="C27" s="20" t="str">
        <x:v>Define all logical interfaces and map inputs/outputs to data input, data output, control input, status output, and power interfaces as applicable.</x:v>
      </x:c>
      <x:c r="D27" s="20" t="str">
        <x:v>Required</x:v>
      </x:c>
      <x:c r="E27" s="20" t="str">
        <x:v>Level 1 / software</x:v>
      </x:c>
      <x:c r="F27" s="20" t="str">
        <x:v>SP 800-140Br1</x:v>
      </x:c>
      <x:c r="G27" s="20" t="str">
        <x:v>§3.3.3</x:v>
      </x:c>
      <x:c r="H27" s="20" t="str">
        <x:v>ISO/IEC 19790 §7.3; ISO/IEC 24759 §6.3</x:v>
      </x:c>
      <x:c r="I27" s="20" t="str">
        <x:v>Mapped in ISO Level 1 Index</x:v>
      </x:c>
      <x:c r="J27" s="20" t="str">
        <x:v>API/interface table; data-flow mapping</x:v>
      </x:c>
      <x:c r="K27" s="20" t="str">
        <x:v>Map Rust public functions, callbacks, error returns, and initialization/configuration inputs.</x:v>
      </x:c>
      <x:c r="L27" s="20" t="str">
        <x:v>ISO mapped</x:v>
      </x:c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72" customHeight="1">
      <x:c r="A28" s="20" t="str">
        <x:v>IF-002</x:v>
      </x:c>
      <x:c r="B28" s="20" t="str">
        <x:v>Interfaces</x:v>
      </x:c>
      <x:c r="C28" s="20" t="str">
        <x:v>Inhibit data output during manual entry, pre-operational self-tests, software/firmware loading, zeroisation, and the error state.</x:v>
      </x:c>
      <x:c r="D28" s="20" t="str">
        <x:v>Required</x:v>
      </x:c>
      <x:c r="E28" s="20" t="str">
        <x:v>All levels</x:v>
      </x:c>
      <x:c r="F28" s="20" t="str">
        <x:v>SP 800-140</x:v>
      </x:c>
      <x:c r="G28" s="20" t="str">
        <x:v>§6.3 AS03.07 / VE03.07.03–.05</x:v>
      </x:c>
      <x:c r="H28" s="20" t="str">
        <x:v>ISO/IEC 19790 §7.3</x:v>
      </x:c>
      <x:c r="I28" s="20" t="str">
        <x:v>Mapped in ISO Level 1 Index</x:v>
      </x:c>
      <x:c r="J28" s="20" t="str">
        <x:v>State/interface design; negative tests</x:v>
      </x:c>
      <x:c r="K28" s="20" t="str">
        <x:v>Self-test failure must gate all cryptographic data output.</x:v>
      </x:c>
      <x:c r="L28" s="20" t="str">
        <x:v>Open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72" customHeight="1">
      <x:c r="A29" s="20" t="str">
        <x:v>IF-003</x:v>
      </x:c>
      <x:c r="B29" s="20" t="str">
        <x:v>Interfaces</x:v>
      </x:c>
      <x:c r="C29" s="20" t="str">
        <x:v>Document and verify logical or physical separation between ordinary data output and SSP generation, manual entry, and zeroisation processes.</x:v>
      </x:c>
      <x:c r="D29" s="20" t="str">
        <x:v>Required</x:v>
      </x:c>
      <x:c r="E29" s="20" t="str">
        <x:v>All levels</x:v>
      </x:c>
      <x:c r="F29" s="20" t="str">
        <x:v>SP 800-140</x:v>
      </x:c>
      <x:c r="G29" s="20" t="str">
        <x:v>§6.3 TE03.07.06–.08</x:v>
      </x:c>
      <x:c r="H29" s="20" t="str">
        <x:v>ISO/IEC 24759 §6.3</x:v>
      </x:c>
      <x:c r="I29" s="20" t="str">
        <x:v>Mapped in ISO Level 1 Index</x:v>
      </x:c>
      <x:c r="J29" s="20" t="str">
        <x:v>Interface-path analysis and tests</x:v>
      </x:c>
      <x:c r="K29" s="20" t="str">
        <x:v>Shared software interfaces require demonstrable logical separation.</x:v>
      </x:c>
      <x:c r="L29" s="20" t="str">
        <x:v>Open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72" customHeight="1">
      <x:c r="A30" s="20" t="str">
        <x:v>ROLE-001</x:v>
      </x:c>
      <x:c r="B30" s="20" t="str">
        <x:v>Roles and services</x:v>
      </x:c>
      <x:c r="C30" s="20" t="str">
        <x:v>Define authorised roles and all approved and non-approved services, including service purpose, algorithms, SSPs, role access, input, output, and SSP access rights.</x:v>
      </x:c>
      <x:c r="D30" s="20" t="str">
        <x:v>Required</x:v>
      </x:c>
      <x:c r="E30" s="20" t="str">
        <x:v>Level 1</x:v>
      </x:c>
      <x:c r="F30" s="20" t="str">
        <x:v>SP 800-140Br1</x:v>
      </x:c>
      <x:c r="G30" s="20" t="str">
        <x:v>§§3.3.4.1–4.4</x:v>
      </x:c>
      <x:c r="H30" s="20" t="str">
        <x:v>ISO/IEC 19790 §7.4 and Annex B</x:v>
      </x:c>
      <x:c r="I30" s="20" t="str">
        <x:v>Mapped in ISO Level 1 Index</x:v>
      </x:c>
      <x:c r="J30" s="20" t="str">
        <x:v>Roles/services/access-control matrix</x:v>
      </x:c>
      <x:c r="K30" s="20" t="str">
        <x:v>At Level 1, roles are required even though operator authentication may be implicit.</x:v>
      </x:c>
      <x:c r="L30" s="20" t="str">
        <x:v>ISO mapped</x:v>
      </x:c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72" customHeight="1">
      <x:c r="A31" s="20" t="str">
        <x:v>ROLE-002</x:v>
      </x:c>
      <x:c r="B31" s="20" t="str">
        <x:v>Authentication</x:v>
      </x:c>
      <x:c r="C31" s="20" t="str">
        <x:v>No operator authentication is required at Level 1 and it may be implicit; if implemented, use at least Level 2 requirements.</x:v>
      </x:c>
      <x:c r="D31" s="20" t="str">
        <x:v>Design choice</x:v>
      </x:c>
      <x:c r="E31" s="20" t="str">
        <x:v>Level 1</x:v>
      </x:c>
      <x:c r="F31" s="20" t="str">
        <x:v>SP 800-140E</x:v>
      </x:c>
      <x:c r="G31" s="20" t="str">
        <x:v>§6.2 Table 1</x:v>
      </x:c>
      <x:c r="H31" s="20" t="str">
        <x:v>ISO/IEC 19790 §7.4</x:v>
      </x:c>
      <x:c r="I31" s="20" t="str">
        <x:v>No</x:v>
      </x:c>
      <x:c r="J31" s="20" t="str">
        <x:v>Documented choice; authentication evidence if enabled</x:v>
      </x:c>
      <x:c r="K31" s="20" t="str">
        <x:v>Simplest scope is implicit role assumption with no authentication mechanism.</x:v>
      </x:c>
      <x:c r="L31" s="20" t="str">
        <x:v>Open</x:v>
      </x:c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72" customHeight="1">
      <x:c r="A32" s="20" t="str">
        <x:v>ROLE-003</x:v>
      </x:c>
      <x:c r="B32" s="20" t="str">
        <x:v>Authentication data</x:v>
      </x:c>
      <x:c r="C32" s="20" t="str">
        <x:v>If authentication is implemented, protect authentication data from unauthorised use, disclosure, modification, and substitution.</x:v>
      </x:c>
      <x:c r="D32" s="20" t="str">
        <x:v>Conditional</x:v>
      </x:c>
      <x:c r="E32" s="20" t="str">
        <x:v>Authentication implemented</x:v>
      </x:c>
      <x:c r="F32" s="20" t="str">
        <x:v>SP 800-140</x:v>
      </x:c>
      <x:c r="G32" s="20" t="str">
        <x:v>§6.4 AS04.44 / VE04.44.01</x:v>
      </x:c>
      <x:c r="H32" s="20" t="str">
        <x:v>SP 800-140E</x:v>
      </x:c>
      <x:c r="I32" s="20" t="str">
        <x:v>No</x:v>
      </x:c>
      <x:c r="J32" s="20" t="str">
        <x:v>Threat analysis and protection tests</x:v>
      </x:c>
      <x:c r="K32" s="20" t="str">
        <x:v>Not applicable if Level 1 uses only implicit role assumption.</x:v>
      </x:c>
      <x:c r="L32" s="20" t="str">
        <x:v>Open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72" customHeight="1">
      <x:c r="A33" s="20" t="str">
        <x:v>ROLE-004</x:v>
      </x:c>
      <x:c r="B33" s="20" t="str">
        <x:v>Zeroisation service</x:v>
      </x:c>
      <x:c r="C33" s="20" t="str">
        <x:v>Provide the required zeroisation service for applicable unprotected SSPs and document the operator procedure.</x:v>
      </x:c>
      <x:c r="D33" s="20" t="str">
        <x:v>Required</x:v>
      </x:c>
      <x:c r="E33" s="20" t="str">
        <x:v>All levels</x:v>
      </x:c>
      <x:c r="F33" s="20" t="str">
        <x:v>SP 800-140</x:v>
      </x:c>
      <x:c r="G33" s="20" t="str">
        <x:v>§6.9 AS09.28–AS09.29</x:v>
      </x:c>
      <x:c r="H33" s="20" t="str">
        <x:v>ISO/IEC 19790 §§7.4.3.1, 7.9.7</x:v>
      </x:c>
      <x:c r="I33" s="20" t="str">
        <x:v>Mapped in ISO Level 1 Index</x:v>
      </x:c>
      <x:c r="J33" s="20" t="str">
        <x:v>Zeroisation API/procedure; SSP inventory; tests</x:v>
      </x:c>
      <x:c r="K33" s="20" t="str">
        <x:v>Level 1 permits procedural zeroisation, but the procedure and rationale still require evidence.</x:v>
      </x:c>
      <x:c r="L33" s="20" t="str">
        <x:v>Open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72" customHeight="1">
      <x:c r="A34" s="20" t="str">
        <x:v>SW-001</x:v>
      </x:c>
      <x:c r="B34" s="20" t="str">
        <x:v>Software security</x:v>
      </x:c>
      <x:c r="C34" s="20" t="str">
        <x:v>Apply an approved integrity technique to all software components within the cryptographic boundary and execute the pre-operational integrity test.</x:v>
      </x:c>
      <x:c r="D34" s="20" t="str">
        <x:v>Required</x:v>
      </x:c>
      <x:c r="E34" s="20" t="str">
        <x:v>Software module</x:v>
      </x:c>
      <x:c r="F34" s="20" t="str">
        <x:v>SP 800-140Br1</x:v>
      </x:c>
      <x:c r="G34" s="20" t="str">
        <x:v>§§3.3.5.1–5.2</x:v>
      </x:c>
      <x:c r="H34" s="20" t="str">
        <x:v>ISO/IEC 19790 §7.5; IG 10.2.A</x:v>
      </x:c>
      <x:c r="I34" s="20" t="str">
        <x:v>Mapped in ISO Level 1 Index</x:v>
      </x:c>
      <x:c r="J34" s="20" t="str">
        <x:v>Signed/MACed image design; integrity reference generation; startup and on-demand tests</x:v>
      </x:c>
      <x:c r="K34" s="20" t="str">
        <x:v>The integrity algorithm must pass its CAST before being used for the integrity test.</x:v>
      </x:c>
      <x:c r="L34" s="20" t="str">
        <x:v>Open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72" customHeight="1">
      <x:c r="A35" s="20" t="str">
        <x:v>SW-002</x:v>
      </x:c>
      <x:c r="B35" s="20" t="str">
        <x:v>Software security</x:v>
      </x:c>
      <x:c r="C35" s="20" t="str">
        <x:v>Permit operator initiation of the software integrity test on demand.</x:v>
      </x:c>
      <x:c r="D35" s="20" t="str">
        <x:v>Required</x:v>
      </x:c>
      <x:c r="E35" s="20" t="str">
        <x:v>Software module</x:v>
      </x:c>
      <x:c r="F35" s="20" t="str">
        <x:v>SP 800-140Br1</x:v>
      </x:c>
      <x:c r="G35" s="20" t="str">
        <x:v>§3.3.5.2</x:v>
      </x:c>
      <x:c r="H35" s="20" t="str">
        <x:v>ISO/IEC 19790 §7.5</x:v>
      </x:c>
      <x:c r="I35" s="20" t="str">
        <x:v>Mapped in ISO Level 1 Index</x:v>
      </x:c>
      <x:c r="J35" s="20" t="str">
        <x:v>Public self-test service and test record</x:v>
      </x:c>
      <x:c r="K35" s="20" t="str">
        <x:v>Make this callable without exposing test vectors from outside the boundary.</x:v>
      </x:c>
      <x:c r="L35" s="20" t="str">
        <x:v>Open</x:v>
      </x:c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72" customHeight="1">
      <x:c r="A36" s="20" t="str">
        <x:v>SW-003</x:v>
      </x:c>
      <x:c r="B36" s="20" t="str">
        <x:v>Open source build</x:v>
      </x:c>
      <x:c r="C36" s="20" t="str">
        <x:v>Document compilers and control parameters required to compile open-source code into the validated executable form.</x:v>
      </x:c>
      <x:c r="D36" s="20" t="str">
        <x:v>Required</x:v>
      </x:c>
      <x:c r="E36" s="20" t="str">
        <x:v>Open-source software</x:v>
      </x:c>
      <x:c r="F36" s="20" t="str">
        <x:v>SP 800-140Br1</x:v>
      </x:c>
      <x:c r="G36" s="20" t="str">
        <x:v>§3.3.5.3</x:v>
      </x:c>
      <x:c r="H36" s="20" t="str">
        <x:v>ISO/IEC 19790 Annex B</x:v>
      </x:c>
      <x:c r="I36" s="20" t="str">
        <x:v>Mapped in ISO Level 1 Index</x:v>
      </x:c>
      <x:c r="J36" s="20" t="str">
        <x:v>Reproducible build specification; toolchain lock; flags; dependency lock</x:v>
      </x:c>
      <x:c r="K36" s="20" t="str">
        <x:v>Pin Rust compiler, target, features, linker, and build scripts used for validated binaries.</x:v>
      </x:c>
      <x:c r="L36" s="20" t="str">
        <x:v>Open</x:v>
      </x:c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72" customHeight="1">
      <x:c r="A37" s="20" t="str">
        <x:v>SW-004</x:v>
      </x:c>
      <x:c r="B37" s="20" t="str">
        <x:v>Software loading</x:v>
      </x:c>
      <x:c r="C37" s="20" t="str">
        <x:v>If external software associated with or modifying the module can be loaded, specify and enforce loading controls and isolation; distinguish complete-image replacement.</x:v>
      </x:c>
      <x:c r="D37" s="20" t="str">
        <x:v>Conditional</x:v>
      </x:c>
      <x:c r="E37" s="20" t="str">
        <x:v>Loading supported</x:v>
      </x:c>
      <x:c r="F37" s="20" t="str">
        <x:v>SP 800-140Br1</x:v>
      </x:c>
      <x:c r="G37" s="20" t="str">
        <x:v>§3.3.4.5</x:v>
      </x:c>
      <x:c r="H37" s="20" t="str">
        <x:v>IG 10.3.F; ISO/IEC 19790 §7.5</x:v>
      </x:c>
      <x:c r="I37" s="20" t="str">
        <x:v>Mapped in ISO Level 1 Index</x:v>
      </x:c>
      <x:c r="J37" s="20" t="str">
        <x:v>Loading architecture; authentication/integrity checks; negative tests</x:v>
      </x:c>
      <x:c r="K37" s="20" t="str">
        <x:v>Prefer complete replacement through a controlled product update path rather than runtime module loading.</x:v>
      </x:c>
      <x:c r="L37" s="20" t="str">
        <x:v>Open</x:v>
      </x:c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72" customHeight="1">
      <x:c r="A38" s="20" t="str">
        <x:v>OE-001</x:v>
      </x:c>
      <x:c r="B38" s="20" t="str">
        <x:v>Operational environment</x:v>
      </x:c>
      <x:c r="C38" s="20" t="str">
        <x:v>Classify the operational environment and explain why it is modifiable, limited, or non-modifiable.</x:v>
      </x:c>
      <x:c r="D38" s="20" t="str">
        <x:v>Required</x:v>
      </x:c>
      <x:c r="E38" s="20" t="str">
        <x:v>Software module</x:v>
      </x:c>
      <x:c r="F38" s="20" t="str">
        <x:v>SP 800-140Br1</x:v>
      </x:c>
      <x:c r="G38" s="20" t="str">
        <x:v>§3.3.6.1</x:v>
      </x:c>
      <x:c r="H38" s="20" t="str">
        <x:v>ISO/IEC 19790 §7.6</x:v>
      </x:c>
      <x:c r="I38" s="20" t="str">
        <x:v>Mapped in ISO Level 1 Index</x:v>
      </x:c>
      <x:c r="J38" s="20" t="str">
        <x:v>OE classification rationale</x:v>
      </x:c>
      <x:c r="K38" s="20" t="str">
        <x:v>A conventional macOS/Linux-hosted Rust library normally has a modifiable OE.</x:v>
      </x:c>
      <x:c r="L38" s="20" t="str">
        <x:v>Open</x:v>
      </x:c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72" customHeight="1">
      <x:c r="A39" s="20" t="str">
        <x:v>OE-002</x:v>
      </x:c>
      <x:c r="B39" s="20" t="str">
        <x:v>Operational environment</x:v>
      </x:c>
      <x:c r="C39" s="20" t="str">
        <x:v>List each tested OS version, hardware platform, processor, compiler/build configuration, and algorithm implementation relationship.</x:v>
      </x:c>
      <x:c r="D39" s="20" t="str">
        <x:v>Required</x:v>
      </x:c>
      <x:c r="E39" s="20" t="str">
        <x:v>Software module</x:v>
      </x:c>
      <x:c r="F39" s="20" t="str">
        <x:v>SP 800-140Br1</x:v>
      </x:c>
      <x:c r="G39" s="20" t="str">
        <x:v>§§3.3.2.2, 3.3.6</x:v>
      </x:c>
      <x:c r="H39" s="20" t="str">
        <x:v>Management Manual §§4.1.1, 7.9</x:v>
      </x:c>
      <x:c r="I39" s="20" t="str">
        <x:v>Mapped in ISO Level 1 Index</x:v>
      </x:c>
      <x:c r="J39" s="20" t="str">
        <x:v>Tested OE matrix and CAVP mapping</x:v>
      </x:c>
      <x:c r="K39" s="20" t="str">
        <x:v>Keep the initial validation OE set deliberately small.</x:v>
      </x:c>
      <x:c r="L39" s="20" t="str">
        <x:v>Open</x:v>
      </x:c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72" customHeight="1">
      <x:c r="A40" s="20" t="str">
        <x:v>OE-003</x:v>
      </x:c>
      <x:c r="B40" s="20" t="str">
        <x:v>Operational environment</x:v>
      </x:c>
      <x:c r="C40" s="20" t="str">
        <x:v>Enforce Level 1 operating-system/OE requirements within the module; restrictions cannot rely solely on administrative instructions.</x:v>
      </x:c>
      <x:c r="D40" s="20" t="str">
        <x:v>Required</x:v>
      </x:c>
      <x:c r="E40" s="20" t="str">
        <x:v>Level 1 / modifiable OE</x:v>
      </x:c>
      <x:c r="F40" s="20" t="str">
        <x:v>FIPS 140-3 IG</x:v>
      </x:c>
      <x:c r="G40" s="20" t="str">
        <x:v>9.5.A, discussion of AS06.05/.06/.08</x:v>
      </x:c>
      <x:c r="H40" s="20" t="str">
        <x:v>ISO/IEC 19790 §7.6</x:v>
      </x:c>
      <x:c r="I40" s="20" t="str">
        <x:v>Mapped in ISO Level 1 Index</x:v>
      </x:c>
      <x:c r="J40" s="20" t="str">
        <x:v>OE enforcement design and tests</x:v>
      </x:c>
      <x:c r="K40" s="20" t="str">
        <x:v>Enforce per-instance SSP control, OE process separation, documented OE restrictions, and module ownership of spawned processes; administrative instructions alone are insufficient.</x:v>
      </x:c>
      <x:c r="L40" s="20" t="str">
        <x:v>ISO mapped</x:v>
      </x:c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72" customHeight="1">
      <x:c r="A41" s="20" t="str">
        <x:v>OE-004</x:v>
      </x:c>
      <x:c r="B41" s="20" t="str">
        <x:v>Operational environment</x:v>
      </x:c>
      <x:c r="C41" s="20" t="str">
        <x:v>Treat untested compatible Level 1 OEs only under CMVP vendor-affirmation/porting rules and required Security Policy caveats.</x:v>
      </x:c>
      <x:c r="D41" s="20" t="str">
        <x:v>Conditional</x:v>
      </x:c>
      <x:c r="E41" s="20" t="str">
        <x:v>Post-validation porting</x:v>
      </x:c>
      <x:c r="F41" s="20" t="str">
        <x:v>CMVP Management Manual</x:v>
      </x:c>
      <x:c r="G41" s="20" t="str">
        <x:v>§7.9.1</x:v>
      </x:c>
      <x:c r="H41" s="20" t="str">
        <x:v>SP 800-140Br1 OE tables</x:v>
      </x:c>
      <x:c r="I41" s="20" t="str">
        <x:v>No</x:v>
      </x:c>
      <x:c r="J41" s="20" t="str">
        <x:v>Porting assessment and Security Policy update</x:v>
      </x:c>
      <x:c r="K41" s="20" t="str">
        <x:v>Do not imply CMVP assurance for untested platforms.</x:v>
      </x:c>
      <x:c r="L41" s="20" t="str">
        <x:v>Open</x:v>
      </x:c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72" customHeight="1">
      <x:c r="A42" s="20" t="str">
        <x:v>PHY-001</x:v>
      </x:c>
      <x:c r="B42" s="20" t="str">
        <x:v>Physical security</x:v>
      </x:c>
      <x:c r="C42" s="20" t="str">
        <x:v>Document the pure-software exemption from the ISO/IEC 19790 §7.7 physical-security requirements and define the tested operational environment physical perimeter separately.</x:v>
      </x:c>
      <x:c r="D42" s="20" t="str">
        <x:v>Not applicable</x:v>
      </x:c>
      <x:c r="E42" s="20" t="str">
        <x:v>Level 1 / software</x:v>
      </x:c>
      <x:c r="F42" s="20" t="str">
        <x:v>ISO/IEC 19790</x:v>
      </x:c>
      <x:c r="G42" s="20" t="str">
        <x:v>§7.7</x:v>
      </x:c>
      <x:c r="H42" s="20" t="str">
        <x:v>ISO/IEC 24759 §6.7</x:v>
      </x:c>
      <x:c r="I42" s="20" t="str">
        <x:v>No — exemption confirmed</x:v>
      </x:c>
      <x:c r="J42" s="20" t="str">
        <x:v>ISO clause extraction and CSTL confirmation</x:v>
      </x:c>
      <x:c r="K42" s="20" t="str">
        <x:v>Do not claim physical-security assurance for the general-purpose platform; preserve the distinction between the logical boundary and TOEPP.</x:v>
      </x:c>
      <x:c r="L42" s="20" t="str">
        <x:v>ISO mapped</x:v>
      </x:c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72" customHeight="1">
      <x:c r="A43" s="20" t="str">
        <x:v>NIA-001</x:v>
      </x:c>
      <x:c r="B43" s="20" t="str">
        <x:v>Non-invasive security</x:v>
      </x:c>
      <x:c r="C43" s="20" t="str">
        <x:v>No CMVP-approved non-invasive attack metrics currently exist; do not claim Annex-F mitigation validation.</x:v>
      </x:c>
      <x:c r="D43" s="20" t="str">
        <x:v>Not applicable unless claimed</x:v>
      </x:c>
      <x:c r="E43" s="20" t="str">
        <x:v>Level 1 / software</x:v>
      </x:c>
      <x:c r="F43" s="20" t="str">
        <x:v>SP 800-140F</x:v>
      </x:c>
      <x:c r="G43" s="20" t="str">
        <x:v>§6.2</x:v>
      </x:c>
      <x:c r="H43" s="20" t="str">
        <x:v>IG 12.A; SP 800-140Br1 §3.3.8</x:v>
      </x:c>
      <x:c r="I43" s="20" t="str">
        <x:v>No</x:v>
      </x:c>
      <x:c r="J43" s="20" t="str">
        <x:v>Security Policy states not claimed/N/A</x:v>
      </x:c>
      <x:c r="K43" s="20" t="str">
        <x:v>Separate ordinary side-channel engineering goals from a CMVP mitigation claim.</x:v>
      </x:c>
      <x:c r="L43" s="20" t="str">
        <x:v>Open</x:v>
      </x:c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72" customHeight="1">
      <x:c r="A44" s="20" t="str">
        <x:v>SSP-001</x:v>
      </x:c>
      <x:c r="B44" s="20" t="str">
        <x:v>SSP management</x:v>
      </x:c>
      <x:c r="C44" s="20" t="str">
        <x:v>Maintain an inventory mapping every SSP to type, strength, generation/input/output method, storage, use, service, access rights, and zeroisation method.</x:v>
      </x:c>
      <x:c r="D44" s="20" t="str">
        <x:v>Required</x:v>
      </x:c>
      <x:c r="E44" s="20" t="str">
        <x:v>All / software</x:v>
      </x:c>
      <x:c r="F44" s="20" t="str">
        <x:v>SP 800-140Br1</x:v>
      </x:c>
      <x:c r="G44" s="20" t="str">
        <x:v>§§3.1 B.2.9; 3.3.9</x:v>
      </x:c>
      <x:c r="H44" s="20" t="str">
        <x:v>ISO/IEC 19790 §7.9</x:v>
      </x:c>
      <x:c r="I44" s="20" t="str">
        <x:v>Mapped in ISO Level 1 Index</x:v>
      </x:c>
      <x:c r="J44" s="20" t="str">
        <x:v>SSP table and lifecycle diagrams</x:v>
      </x:c>
      <x:c r="K44" s="20" t="str">
        <x:v>Include ML-KEM/ML-DSA private keys, seeds, shared secrets, DRBG state, AES keys, and transient intermediates as applicable.</x:v>
      </x:c>
      <x:c r="L44" s="20" t="str">
        <x:v>Open</x:v>
      </x:c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72" customHeight="1">
      <x:c r="A45" s="20" t="str">
        <x:v>SSP-002</x:v>
      </x:c>
      <x:c r="B45" s="20" t="str">
        <x:v>SSP generation</x:v>
      </x:c>
      <x:c r="C45" s="20" t="str">
        <x:v>Use only CMVP-approved SSP generation and establishment methods; other methods are precluded in approved mode.</x:v>
      </x:c>
      <x:c r="D45" s="20" t="str">
        <x:v>Required</x:v>
      </x:c>
      <x:c r="E45" s="20" t="str">
        <x:v>All levels</x:v>
      </x:c>
      <x:c r="F45" s="20" t="str">
        <x:v>SP 800-140Dr2</x:v>
      </x:c>
      <x:c r="G45" s="20" t="str">
        <x:v>§6</x:v>
      </x:c>
      <x:c r="H45" s="20" t="str">
        <x:v>SP 800-140D supplemental §§6.2.1–6.2.14</x:v>
      </x:c>
      <x:c r="I45" s="20" t="str">
        <x:v>No</x:v>
      </x:c>
      <x:c r="J45" s="20" t="str">
        <x:v>Method-to-standard matrix; CAVP/ESV/RBG evidence</x:v>
      </x:c>
      <x:c r="K45" s="20" t="str">
        <x:v>Current web list, not the static PDF alone, is controlling.</x:v>
      </x:c>
      <x:c r="L45" s="20" t="str">
        <x:v>Open</x:v>
      </x:c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72" customHeight="1">
      <x:c r="A46" s="20" t="str">
        <x:v>SSP-003</x:v>
      </x:c>
      <x:c r="B46" s="20" t="str">
        <x:v>Randomness</x:v>
      </x:c>
      <x:c r="C46" s="20" t="str">
        <x:v>For module-generated random values, use an approved RBG construction with applicable SP 800-90A/B/C conformance and CMVP entropy guidance.</x:v>
      </x:c>
      <x:c r="D46" s="20" t="str">
        <x:v>Conditional</x:v>
      </x:c>
      <x:c r="E46" s="20" t="str">
        <x:v>Internal randomness</x:v>
      </x:c>
      <x:c r="F46" s="20" t="str">
        <x:v>SP 800-140C/D supplemental pages</x:v>
      </x:c>
      <x:c r="G46" s="20" t="str">
        <x:v>C §§6.2.7–6.2.9; D §§6.2.11–6.2.13</x:v>
      </x:c>
      <x:c r="H46" s="20" t="str">
        <x:v>IG 9.3.A, D.J, D.K, D.O</x:v>
      </x:c>
      <x:c r="I46" s="20" t="str">
        <x:v>No</x:v>
      </x:c>
      <x:c r="J46" s="20" t="str">
        <x:v>Entropy strategy; ESV/RBG evidence; DRBG CAVP certificate; health-test evidence</x:v>
      </x:c>
      <x:c r="K46" s="20" t="str">
        <x:v>ML-KEM and ML-DSA key/sign operations require a defined randomness path.</x:v>
      </x:c>
      <x:c r="L46" s="20" t="str">
        <x:v>Open</x:v>
      </x:c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72" customHeight="1">
      <x:c r="A47" s="20" t="str">
        <x:v>SSP-004</x:v>
      </x:c>
      <x:c r="B47" s="20" t="str">
        <x:v>External randomness</x:v>
      </x:c>
      <x:c r="C47" s="20" t="str">
        <x:v>If randomness/entropy is supplied from outside the boundary, classify it correctly and apply SSP-entry and entropy caveat requirements for every claimed OE.</x:v>
      </x:c>
      <x:c r="D47" s="20" t="str">
        <x:v>Conditional</x:v>
      </x:c>
      <x:c r="E47" s="20" t="str">
        <x:v>External randomness</x:v>
      </x:c>
      <x:c r="F47" s="20" t="str">
        <x:v>FIPS 140-3 IG</x:v>
      </x:c>
      <x:c r="G47" s="20" t="str">
        <x:v>9.3.A; 9.5.A</x:v>
      </x:c>
      <x:c r="H47" s="20" t="str">
        <x:v>CMVP Management Manual §4.8.1</x:v>
      </x:c>
      <x:c r="I47" s="20" t="str">
        <x:v>Mapped in ISO Level 1 Index</x:v>
      </x:c>
      <x:c r="J47" s="20" t="str">
        <x:v>Interface classification; caveat text; OE-specific entropy evidence</x:v>
      </x:c>
      <x:c r="K47" s="20" t="str">
        <x:v>A callback to the host RNG does not make entropy obligations disappear.</x:v>
      </x:c>
      <x:c r="L47" s="20" t="str">
        <x:v>Open</x:v>
      </x:c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72" customHeight="1">
      <x:c r="A48" s="20" t="str">
        <x:v>SSP-005</x:v>
      </x:c>
      <x:c r="B48" s="20" t="str">
        <x:v>SSP I/O</x:v>
      </x:c>
      <x:c r="C48" s="20" t="str">
        <x:v>Protect electronic/manual SSP entry and output using the methods applicable to software-to-software paths and the TOEPP/boundary arrangement.</x:v>
      </x:c>
      <x:c r="D48" s="20" t="str">
        <x:v>Conditional</x:v>
      </x:c>
      <x:c r="E48" s="20" t="str">
        <x:v>SSP crosses boundary</x:v>
      </x:c>
      <x:c r="F48" s="20" t="str">
        <x:v>FIPS 140-3 IG</x:v>
      </x:c>
      <x:c r="G48" s="20" t="str">
        <x:v>9.5.A Tables 1–2</x:v>
      </x:c>
      <x:c r="H48" s="20" t="str">
        <x:v>ISO/IEC 19790 §§7.9.4–7.9.5</x:v>
      </x:c>
      <x:c r="I48" s="20" t="str">
        <x:v>Mapped in ISO Level 1 Index</x:v>
      </x:c>
      <x:c r="J48" s="20" t="str">
        <x:v>Path classification; encryption/encapsulation method; interface tests</x:v>
      </x:c>
      <x:c r="K48" s="20" t="str">
        <x:v>Avoid outputting private keys or DRBG internal state.</x:v>
      </x:c>
      <x:c r="L48" s="20" t="str">
        <x:v>ISO mapped</x:v>
      </x:c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72" customHeight="1">
      <x:c r="A49" s="20" t="str">
        <x:v>SSP-006</x:v>
      </x:c>
      <x:c r="B49" s="20" t="str">
        <x:v>Stored SSP protection</x:v>
      </x:c>
      <x:c r="C49" s="20" t="str">
        <x:v>If claiming stored SSPs are protected, use an approved method identified by IG 9.6.A; otherwise treat them as unprotected for zeroisation.</x:v>
      </x:c>
      <x:c r="D49" s="20" t="str">
        <x:v>Conditional</x:v>
      </x:c>
      <x:c r="E49" s="20" t="str">
        <x:v>Stored SSPs</x:v>
      </x:c>
      <x:c r="F49" s="20" t="str">
        <x:v>FIPS 140-3 IG</x:v>
      </x:c>
      <x:c r="G49" s="20" t="str">
        <x:v>9.6.A</x:v>
      </x:c>
      <x:c r="H49" s="20" t="str">
        <x:v>SP 800-140 AS09.28</x:v>
      </x:c>
      <x:c r="I49" s="20" t="str">
        <x:v>No</x:v>
      </x:c>
      <x:c r="J49" s="20" t="str">
        <x:v>Storage design; protection-key lifecycle; tests</x:v>
      </x:c>
      <x:c r="K49" s="20" t="str">
        <x:v>Keeping no persistent SSP storage materially reduces scope.</x:v>
      </x:c>
      <x:c r="L49" s="20" t="str">
        <x:v>Open</x:v>
      </x:c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 ht="72" customHeight="1">
      <x:c r="A50" s="20" t="str">
        <x:v>SSP-007</x:v>
      </x:c>
      <x:c r="B50" s="20" t="str">
        <x:v>Zeroisation</x:v>
      </x:c>
      <x:c r="C50" s="20" t="str">
        <x:v>Provide methods to zeroise every unprotected SSP and key component; document techniques, restrictions, coverage, exclusions, and completion time rationale.</x:v>
      </x:c>
      <x:c r="D50" s="20" t="str">
        <x:v>Required</x:v>
      </x:c>
      <x:c r="E50" s="20" t="str">
        <x:v>All levels</x:v>
      </x:c>
      <x:c r="F50" s="20" t="str">
        <x:v>SP 800-140</x:v>
      </x:c>
      <x:c r="G50" s="20" t="str">
        <x:v>§6.9 AS09.28 / VE09.28.01–.03</x:v>
      </x:c>
      <x:c r="H50" s="20" t="str">
        <x:v>ISO/IEC 19790 §7.9.7</x:v>
      </x:c>
      <x:c r="I50" s="20" t="str">
        <x:v>Mapped in ISO Level 1 Index</x:v>
      </x:c>
      <x:c r="J50" s="20" t="str">
        <x:v>Per-SSP zeroisation mapping; compiler-aware implementation tests; timing rationale</x:v>
      </x:c>
      <x:c r="K50" s="20" t="str">
        <x:v>For Rust, show that optimizations cannot remove intended wipes and explain copies/allocator behavior.</x:v>
      </x:c>
      <x:c r="L50" s="20" t="str">
        <x:v>Open</x:v>
      </x:c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 ht="72" customHeight="1">
      <x:c r="A51" s="20" t="str">
        <x:v>SSP-008</x:v>
      </x:c>
      <x:c r="B51" s="20" t="str">
        <x:v>Zeroisation</x:v>
      </x:c>
      <x:c r="C51" s="20" t="str">
        <x:v>Ensure zeroised SSPs are not retrievable or reusable and demonstrate this through operational testing.</x:v>
      </x:c>
      <x:c r="D51" s="20" t="str">
        <x:v>Required</x:v>
      </x:c>
      <x:c r="E51" s="20" t="str">
        <x:v>All levels</x:v>
      </x:c>
      <x:c r="F51" s="20" t="str">
        <x:v>SP 800-140</x:v>
      </x:c>
      <x:c r="G51" s="20" t="str">
        <x:v>§6.9 AS09.29 / TE09.29.01–.02</x:v>
      </x:c>
      <x:c r="H51" s="20" t="str">
        <x:v>ISO/IEC 19790 §7.9.7</x:v>
      </x:c>
      <x:c r="I51" s="20" t="str">
        <x:v>Mapped in ISO Level 1 Index</x:v>
      </x:c>
      <x:c r="J51" s="20" t="str">
        <x:v>Negative-use tests; memory inspection where feasible</x:v>
      </x:c>
      <x:c r="K51" s="20" t="str">
        <x:v>Test stale handles, cached copies, stack/heap copies, and error paths.</x:v>
      </x:c>
      <x:c r="L51" s="20" t="str">
        <x:v>Open</x:v>
      </x:c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 ht="72" customHeight="1">
      <x:c r="A52" s="20" t="str">
        <x:v>SSP-009</x:v>
      </x:c>
      <x:c r="B52" s="20" t="str">
        <x:v>Key generation</x:v>
      </x:c>
      <x:c r="C52" s="20" t="str">
        <x:v>Apply SP 800-133 Rev. 2 and the applicable algorithm standard to key generation.</x:v>
      </x:c>
      <x:c r="D52" s="20" t="str">
        <x:v>Conditional</x:v>
      </x:c>
      <x:c r="E52" s="20" t="str">
        <x:v>Module generates keys</x:v>
      </x:c>
      <x:c r="F52" s="20" t="str">
        <x:v>SP 800-140D supplemental</x:v>
      </x:c>
      <x:c r="G52" s="20" t="str">
        <x:v>§§6.2.2, 6.2.5, 6.2.10</x:v>
      </x:c>
      <x:c r="H52" s="20" t="str">
        <x:v>IG D.H; FIPS 203/204; SP 800-208</x:v>
      </x:c>
      <x:c r="I52" s="20" t="str">
        <x:v>No</x:v>
      </x:c>
      <x:c r="J52" s="20" t="str">
        <x:v>Key-generation design and standard crosswalk</x:v>
      </x:c>
      <x:c r="K52" s="20" t="str">
        <x:v>ML-KEM/ML-DSA use their FIPS key-generation procedures; symmetric key generation uses SP 800-133.</x:v>
      </x:c>
      <x:c r="L52" s="20" t="str">
        <x:v>Open</x:v>
      </x:c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 ht="72" customHeight="1">
      <x:c r="A53" s="20" t="str">
        <x:v>TEST-001</x:v>
      </x:c>
      <x:c r="B53" s="20" t="str">
        <x:v>Self-tests</x:v>
      </x:c>
      <x:c r="C53" s="20" t="str">
        <x:v>All self-tests and pass/fail decisions must be internal to the module, without external controls, supplied vectors/answers, or operator intervention.</x:v>
      </x:c>
      <x:c r="D53" s="20" t="str">
        <x:v>Required</x:v>
      </x:c>
      <x:c r="E53" s="20" t="str">
        <x:v>All levels</x:v>
      </x:c>
      <x:c r="F53" s="20" t="str">
        <x:v>SP 800-140</x:v>
      </x:c>
      <x:c r="G53" s="20" t="str">
        <x:v>§6.10 AS10.01–AS10.02</x:v>
      </x:c>
      <x:c r="H53" s="20" t="str">
        <x:v>IG 10.3.A</x:v>
      </x:c>
      <x:c r="I53" s="20" t="str">
        <x:v>No</x:v>
      </x:c>
      <x:c r="J53" s="20" t="str">
        <x:v>Self-test architecture and negative tests</x:v>
      </x:c>
      <x:c r="K53" s="20" t="str">
        <x:v>Compiled-in vectors are permitted; runtime-supplied vectors are not.</x:v>
      </x:c>
      <x:c r="L53" s="20" t="str">
        <x:v>Open</x:v>
      </x:c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 ht="72" customHeight="1">
      <x:c r="A54" s="20" t="str">
        <x:v>TEST-002</x:v>
      </x:c>
      <x:c r="B54" s="20" t="str">
        <x:v>Self-tests</x:v>
      </x:c>
      <x:c r="C54" s="20" t="str">
        <x:v>Run a CAST for every approved cryptographic algorithm implementation before its first operational use, following current IG coverage rules.</x:v>
      </x:c>
      <x:c r="D54" s="20" t="str">
        <x:v>Required</x:v>
      </x:c>
      <x:c r="E54" s="20" t="str">
        <x:v>All levels</x:v>
      </x:c>
      <x:c r="F54" s="20" t="str">
        <x:v>FIPS 140-3 IG</x:v>
      </x:c>
      <x:c r="G54" s="20" t="str">
        <x:v>10.3.A</x:v>
      </x:c>
      <x:c r="H54" s="20" t="str">
        <x:v>ISO/IEC 19790 §7.10.3.2</x:v>
      </x:c>
      <x:c r="I54" s="20" t="str">
        <x:v>Mapped in ISO Level 1 Index</x:v>
      </x:c>
      <x:c r="J54" s="20" t="str">
        <x:v>Implementation-to-CAST matrix; forced-failure tests</x:v>
      </x:c>
      <x:c r="K54" s="20" t="str">
        <x:v>Separate CPU-optimized implementations may each require coverage.</x:v>
      </x:c>
      <x:c r="L54" s="20" t="str">
        <x:v>Open</x:v>
      </x:c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 ht="72" customHeight="1">
      <x:c r="A55" s="20" t="str">
        <x:v>TEST-003</x:v>
      </x:c>
      <x:c r="B55" s="20" t="str">
        <x:v>Self-tests</x:v>
      </x:c>
      <x:c r="C55" s="20" t="str">
        <x:v>For AES-GCM, self-test authenticated encryption and cover every implemented forward/inverse AES cipher function as required.</x:v>
      </x:c>
      <x:c r="D55" s="20" t="str">
        <x:v>Required</x:v>
      </x:c>
      <x:c r="E55" s="20" t="str">
        <x:v>AES-GCM implemented</x:v>
      </x:c>
      <x:c r="F55" s="20" t="str">
        <x:v>FIPS 140-3 IG</x:v>
      </x:c>
      <x:c r="G55" s="20" t="str">
        <x:v>10.3.A Resolution 1.c–1.d</x:v>
      </x:c>
      <x:c r="H55" s="20" t="str">
        <x:v>SP 800-38D</x:v>
      </x:c>
      <x:c r="I55" s="20" t="str">
        <x:v>No</x:v>
      </x:c>
      <x:c r="J55" s="20" t="str">
        <x:v>AES-GCM KAT/CAST vectors and coverage rationale</x:v>
      </x:c>
      <x:c r="K55" s="20" t="str">
        <x:v>GCM alone exercises the forward AES function; an inverse-function CAST is needed only if an inverse implementation is present.</x:v>
      </x:c>
      <x:c r="L55" s="20" t="str">
        <x:v>Open</x:v>
      </x:c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 ht="72" customHeight="1">
      <x:c r="A56" s="20" t="str">
        <x:v>TEST-004</x:v>
      </x:c>
      <x:c r="B56" s="20" t="str">
        <x:v>Self-tests</x:v>
      </x:c>
      <x:c r="C56" s="20" t="str">
        <x:v>For SHA-2 and FIPS 202 functions exposed as services, provide the required CASTs for each separately implemented algorithm/function family.</x:v>
      </x:c>
      <x:c r="D56" s="20" t="str">
        <x:v>Required</x:v>
      </x:c>
      <x:c r="E56" s="20" t="str">
        <x:v>SHA-2/SHA-3/SHAKE implemented</x:v>
      </x:c>
      <x:c r="F56" s="20" t="str">
        <x:v>FIPS 140-3 IG</x:v>
      </x:c>
      <x:c r="G56" s="20" t="str">
        <x:v>10.3.A; C.B; C.C</x:v>
      </x:c>
      <x:c r="H56" s="20" t="str">
        <x:v>FIPS 180-4; FIPS 202</x:v>
      </x:c>
      <x:c r="I56" s="20" t="str">
        <x:v>No</x:v>
      </x:c>
      <x:c r="J56" s="20" t="str">
        <x:v>KATs and implementation-sharing rationale</x:v>
      </x:c>
      <x:c r="K56" s="20" t="str">
        <x:v>Embedded hashes may be covered by an approved higher-level CAST only under IG 10.3.B.</x:v>
      </x:c>
      <x:c r="L56" s="20" t="str">
        <x:v>Open</x:v>
      </x:c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 ht="72" customHeight="1">
      <x:c r="A57" s="20" t="str">
        <x:v>TEST-005</x:v>
      </x:c>
      <x:c r="B57" s="20" t="str">
        <x:v>Self-tests</x:v>
      </x:c>
      <x:c r="C57" s="20" t="str">
        <x:v>For ML-KEM, provide encapsulation, decapsulation, and key-generation CASTs for implemented operations; decapsulation covers rejection and non-rejection paths; test at least one implemented approved parameter set.</x:v>
      </x:c>
      <x:c r="D57" s="20" t="str">
        <x:v>Required</x:v>
      </x:c>
      <x:c r="E57" s="20" t="str">
        <x:v>ML-KEM implemented</x:v>
      </x:c>
      <x:c r="F57" s="20" t="str">
        <x:v>FIPS 140-3 IG</x:v>
      </x:c>
      <x:c r="G57" s="20" t="str">
        <x:v>10.3.A Resolution 14</x:v>
      </x:c>
      <x:c r="H57" s="20" t="str">
        <x:v>FIPS 203 Algorithms 16–21</x:v>
      </x:c>
      <x:c r="I57" s="20" t="str">
        <x:v>No</x:v>
      </x:c>
      <x:c r="J57" s="20" t="str">
        <x:v>ML-KEM CAST vectors; path-coverage evidence</x:v>
      </x:c>
      <x:c r="K57" s="20" t="str">
        <x:v>For the CNSA profile, select ML-KEM-1024.</x:v>
      </x:c>
      <x:c r="L57" s="20" t="str">
        <x:v>Open</x:v>
      </x:c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 ht="72" customHeight="1">
      <x:c r="A58" s="20" t="str">
        <x:v>TEST-006</x:v>
      </x:c>
      <x:c r="B58" s="20" t="str">
        <x:v>Self-tests</x:v>
      </x:c>
      <x:c r="C58" s="20" t="str">
        <x:v>For ML-DSA, provide applicable signature-generation, signature-verification, and key-generation CASTs; test at least one implemented approved parameter set.</x:v>
      </x:c>
      <x:c r="D58" s="20" t="str">
        <x:v>Required</x:v>
      </x:c>
      <x:c r="E58" s="20" t="str">
        <x:v>ML-DSA implemented</x:v>
      </x:c>
      <x:c r="F58" s="20" t="str">
        <x:v>FIPS 140-3 IG</x:v>
      </x:c>
      <x:c r="G58" s="20" t="str">
        <x:v>10.3.A Resolution 15</x:v>
      </x:c>
      <x:c r="H58" s="20" t="str">
        <x:v>FIPS 204 Algorithms 1–7</x:v>
      </x:c>
      <x:c r="I58" s="20" t="str">
        <x:v>No</x:v>
      </x:c>
      <x:c r="J58" s="20" t="str">
        <x:v>ML-DSA CAST vectors and sampling-path evidence</x:v>
      </x:c>
      <x:c r="K58" s="20" t="str">
        <x:v>For the CNSA profile, select ML-DSA-87.</x:v>
      </x:c>
      <x:c r="L58" s="20" t="str">
        <x:v>Open</x:v>
      </x:c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 ht="72" customHeight="1">
      <x:c r="A59" s="20" t="str">
        <x:v>TEST-007</x:v>
      </x:c>
      <x:c r="B59" s="20" t="str">
        <x:v>Self-tests</x:v>
      </x:c>
      <x:c r="C59" s="20" t="str">
        <x:v>A higher-level CAST may cover an embedded primitive only when all IG 10.3.B conditions are satisfied and the combination is explicitly approved.</x:v>
      </x:c>
      <x:c r="D59" s="20" t="str">
        <x:v>Conditional</x:v>
      </x:c>
      <x:c r="E59" s="20" t="str">
        <x:v>Embedded primitives</x:v>
      </x:c>
      <x:c r="F59" s="20" t="str">
        <x:v>FIPS 140-3 IG</x:v>
      </x:c>
      <x:c r="G59" s="20" t="str">
        <x:v>10.3.B</x:v>
      </x:c>
      <x:c r="H59" s="20" t="str">
        <x:v>IG 10.3.A</x:v>
      </x:c>
      <x:c r="I59" s="20" t="str">
        <x:v>No</x:v>
      </x:c>
      <x:c r="J59" s="20" t="str">
        <x:v>Primitive-to-parent CAST coverage matrix</x:v>
      </x:c>
      <x:c r="K59" s="20" t="str">
        <x:v>Do not assume ML-KEM/ML-DSA tests automatically cover every externally exposed SHAKE service.</x:v>
      </x:c>
      <x:c r="L59" s="20" t="str">
        <x:v>Open</x:v>
      </x:c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 ht="72" customHeight="1">
      <x:c r="A60" s="20" t="str">
        <x:v>TEST-008</x:v>
      </x:c>
      <x:c r="B60" s="20" t="str">
        <x:v>Self-tests</x:v>
      </x:c>
      <x:c r="C60" s="20" t="str">
        <x:v>On self-test failure, enter an error state, inhibit data output, and output an error indicator.</x:v>
      </x:c>
      <x:c r="D60" s="20" t="str">
        <x:v>Required</x:v>
      </x:c>
      <x:c r="E60" s="20" t="str">
        <x:v>All levels</x:v>
      </x:c>
      <x:c r="F60" s="20" t="str">
        <x:v>SP 800-140</x:v>
      </x:c>
      <x:c r="G60" s="20" t="str">
        <x:v>§6.10 AS10.07 / TE10.07.05</x:v>
      </x:c>
      <x:c r="H60" s="20" t="str">
        <x:v>ISO/IEC 19790 §§7.3.3, 7.10</x:v>
      </x:c>
      <x:c r="I60" s="20" t="str">
        <x:v>Mapped in ISO Level 1 Index</x:v>
      </x:c>
      <x:c r="J60" s="20" t="str">
        <x:v>State transition tests; injected-failure tests; interface gating tests</x:v>
      </x:c>
      <x:c r="K60" s="20" t="str">
        <x:v>Error-state behavior must be deterministic and observable.</x:v>
      </x:c>
      <x:c r="L60" s="20" t="str">
        <x:v>Open</x:v>
      </x:c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 ht="72" customHeight="1">
      <x:c r="A61" s="20" t="str">
        <x:v>TEST-009</x:v>
      </x:c>
      <x:c r="B61" s="20" t="str">
        <x:v>Self-tests</x:v>
      </x:c>
      <x:c r="C61" s="20" t="str">
        <x:v>Support operator-initiated and applicable periodic self-testing according to the base requirements and IG 10.3.E.</x:v>
      </x:c>
      <x:c r="D61" s="20" t="str">
        <x:v>Required</x:v>
      </x:c>
      <x:c r="E61" s="20" t="str">
        <x:v>All levels</x:v>
      </x:c>
      <x:c r="F61" s="20" t="str">
        <x:v>FIPS 140-3 IG</x:v>
      </x:c>
      <x:c r="G61" s="20" t="str">
        <x:v>10.3.E</x:v>
      </x:c>
      <x:c r="H61" s="20" t="str">
        <x:v>ISO/IEC 19790 §7.10.3.8</x:v>
      </x:c>
      <x:c r="I61" s="20" t="str">
        <x:v>Mapped in ISO Level 1 Index</x:v>
      </x:c>
      <x:c r="J61" s="20" t="str">
        <x:v>Self-test service; periodic policy; tests</x:v>
      </x:c>
      <x:c r="K61" s="20" t="str">
        <x:v>Confirm precise periodic alternatives and timing in ISO.</x:v>
      </x:c>
      <x:c r="L61" s="20" t="str">
        <x:v>ISO mapped</x:v>
      </x:c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 ht="72" customHeight="1">
      <x:c r="A62" s="20" t="str">
        <x:v>TEST-010</x:v>
      </x:c>
      <x:c r="B62" s="20" t="str">
        <x:v>Software integrity</x:v>
      </x:c>
      <x:c r="C62" s="20" t="str">
        <x:v>Before performing the software integrity test with an approved algorithm, successfully run that algorithm's CAST.</x:v>
      </x:c>
      <x:c r="D62" s="20" t="str">
        <x:v>Required</x:v>
      </x:c>
      <x:c r="E62" s="20" t="str">
        <x:v>Software module</x:v>
      </x:c>
      <x:c r="F62" s="20" t="str">
        <x:v>FIPS 140-3 IG</x:v>
      </x:c>
      <x:c r="G62" s="20" t="str">
        <x:v>10.2.A</x:v>
      </x:c>
      <x:c r="H62" s="20" t="str">
        <x:v>ISO/IEC 19790 AS10.20</x:v>
      </x:c>
      <x:c r="I62" s="20" t="str">
        <x:v>Mapped in ISO Level 1 Index</x:v>
      </x:c>
      <x:c r="J62" s="20" t="str">
        <x:v>Startup order proof and injected-failure tests</x:v>
      </x:c>
      <x:c r="K62" s="20" t="str">
        <x:v>CAST failure must prevent the integrity check from being trusted.</x:v>
      </x:c>
      <x:c r="L62" s="20" t="str">
        <x:v>Open</x:v>
      </x:c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 ht="72" customHeight="1">
      <x:c r="A63" s="20" t="str">
        <x:v>LC-001</x:v>
      </x:c>
      <x:c r="B63" s="20" t="str">
        <x:v>Life-cycle assurance</x:v>
      </x:c>
      <x:c r="C63" s="20" t="str">
        <x:v>Provide a finite-state model covering roles, services, modes, self-tests, error states, and transitions; prohibit privilege escalation into the Crypto Officer state.</x:v>
      </x:c>
      <x:c r="D63" s="20" t="str">
        <x:v>Required</x:v>
      </x:c>
      <x:c r="E63" s="20" t="str">
        <x:v>All levels</x:v>
      </x:c>
      <x:c r="F63" s="20" t="str">
        <x:v>SP 800-140</x:v>
      </x:c>
      <x:c r="G63" s="20" t="str">
        <x:v>§6.11 AS11.13</x:v>
      </x:c>
      <x:c r="H63" s="20" t="str">
        <x:v>ISO/IEC 19790 §7.11</x:v>
      </x:c>
      <x:c r="I63" s="20" t="str">
        <x:v>Mapped in ISO Level 1 Index</x:v>
      </x:c>
      <x:c r="J63" s="20" t="str">
        <x:v>Formal FSM diagram/table and transition tests</x:v>
      </x:c>
      <x:c r="K63" s="20" t="str">
        <x:v>Use a machine-readable state-transition specification if practical.</x:v>
      </x:c>
      <x:c r="L63" s="20" t="str">
        <x:v>ISO mapped</x:v>
      </x:c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 ht="72" customHeight="1">
      <x:c r="A64" s="20" t="str">
        <x:v>LC-002</x:v>
      </x:c>
      <x:c r="B64" s="20" t="str">
        <x:v>Life-cycle assurance</x:v>
      </x:c>
      <x:c r="C64" s="20" t="str">
        <x:v>Document functional testing that demonstrates behavior consistent with the Security Policy and functional specification.</x:v>
      </x:c>
      <x:c r="D64" s="20" t="str">
        <x:v>Required</x:v>
      </x:c>
      <x:c r="E64" s="20" t="str">
        <x:v>All levels</x:v>
      </x:c>
      <x:c r="F64" s="20" t="str">
        <x:v>SP 800-140</x:v>
      </x:c>
      <x:c r="G64" s="20" t="str">
        <x:v>§6.11 AS11.29 / VE11.29.01</x:v>
      </x:c>
      <x:c r="H64" s="20" t="str">
        <x:v>ISO/IEC 19790 §7.11</x:v>
      </x:c>
      <x:c r="I64" s="20" t="str">
        <x:v>Mapped in ISO Level 1 Index</x:v>
      </x:c>
      <x:c r="J64" s="20" t="str">
        <x:v>Test plan, traceability, results, coverage rationale</x:v>
      </x:c>
      <x:c r="K64" s="20" t="str">
        <x:v>Keep requirements-to-test linkage in version control.</x:v>
      </x:c>
      <x:c r="L64" s="20" t="str">
        <x:v>Open</x:v>
      </x:c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 ht="72" customHeight="1">
      <x:c r="A65" s="20" t="str">
        <x:v>LC-003</x:v>
      </x:c>
      <x:c r="B65" s="20" t="str">
        <x:v>Life-cycle assurance</x:v>
      </x:c>
      <x:c r="C65" s="20" t="str">
        <x:v>Provide secure installation, initialization, startup, operation, administrator guidance, and non-administrator guidance.</x:v>
      </x:c>
      <x:c r="D65" s="20" t="str">
        <x:v>Required</x:v>
      </x:c>
      <x:c r="E65" s="20" t="str">
        <x:v>All / software</x:v>
      </x:c>
      <x:c r="F65" s="20" t="str">
        <x:v>SP 800-140Br1</x:v>
      </x:c>
      <x:c r="G65" s="20" t="str">
        <x:v>§§3.3.11.1–11.3</x:v>
      </x:c>
      <x:c r="H65" s="20" t="str">
        <x:v>SP 800-140 AS11.38</x:v>
      </x:c>
      <x:c r="I65" s="20" t="str">
        <x:v>Mapped in ISO Level 1 Index</x:v>
      </x:c>
      <x:c r="J65" s="20" t="str">
        <x:v>Installation and guidance documents; tested procedures</x:v>
      </x:c>
      <x:c r="K65" s="20" t="str">
        <x:v>Document how to verify the exact validated artifact/version.</x:v>
      </x:c>
      <x:c r="L65" s="20" t="str">
        <x:v>Open</x:v>
      </x:c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 ht="72" customHeight="1">
      <x:c r="A66" s="20" t="str">
        <x:v>LC-004</x:v>
      </x:c>
      <x:c r="B66" s="20" t="str">
        <x:v>Life-cycle assurance</x:v>
      </x:c>
      <x:c r="C66" s="20" t="str">
        <x:v>Administrator guidance must describe administrative functions, security events/parameters, ports/interfaces, approved-mode administration, role independence where applicable, and relevant user-behavior assumptions.</x:v>
      </x:c>
      <x:c r="D66" s="20" t="str">
        <x:v>Required</x:v>
      </x:c>
      <x:c r="E66" s="20" t="str">
        <x:v>All levels</x:v>
      </x:c>
      <x:c r="F66" s="20" t="str">
        <x:v>SP 800-140</x:v>
      </x:c>
      <x:c r="G66" s="20" t="str">
        <x:v>§6.11 AS11.38</x:v>
      </x:c>
      <x:c r="H66" s="20" t="str">
        <x:v>ISO/IEC 19790 §7.11</x:v>
      </x:c>
      <x:c r="I66" s="20" t="str">
        <x:v>Mapped in ISO Level 1 Index</x:v>
      </x:c>
      <x:c r="J66" s="20" t="str">
        <x:v>Administrator guide crosswalk</x:v>
      </x:c>
      <x:c r="K66" s="20" t="str">
        <x:v>Include compile/runtime feature restrictions and approved-mode configuration.</x:v>
      </x:c>
      <x:c r="L66" s="20" t="str">
        <x:v>Open</x:v>
      </x:c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 ht="72" customHeight="1">
      <x:c r="A67" s="20" t="str">
        <x:v>LC-005</x:v>
      </x:c>
      <x:c r="B67" s="20" t="str">
        <x:v>Life-cycle assurance</x:v>
      </x:c>
      <x:c r="C67" s="20" t="str">
        <x:v>Maintain configuration management, version identification, source/build control, secure delivery, and design documentation required by the ISO Level 1 clauses.</x:v>
      </x:c>
      <x:c r="D67" s="20" t="str">
        <x:v>ISO gap</x:v>
      </x:c>
      <x:c r="E67" s="20" t="str">
        <x:v>Level 1 / software</x:v>
      </x:c>
      <x:c r="F67" s="20" t="str">
        <x:v>ISO/IEC 19790</x:v>
      </x:c>
      <x:c r="G67" s="20" t="str">
        <x:v>§7.11</x:v>
      </x:c>
      <x:c r="H67" s="20" t="str">
        <x:v>ISO/IEC 24759 §6.11</x:v>
      </x:c>
      <x:c r="I67" s="20" t="str">
        <x:v>Mapped in ISO Level 1 Index</x:v>
      </x:c>
      <x:c r="J67" s="20" t="str">
        <x:v>ISO clause extraction; CM plan; reproducible release evidence</x:v>
      </x:c>
      <x:c r="K67" s="20" t="str">
        <x:v>This is a major portion of the remaining ISO-only work.</x:v>
      </x:c>
      <x:c r="L67" s="20" t="str">
        <x:v>ISO mapped</x:v>
      </x:c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 ht="72" customHeight="1">
      <x:c r="A68" s="20" t="str">
        <x:v>LC-006</x:v>
      </x:c>
      <x:c r="B68" s="20" t="str">
        <x:v>CVE management</x:v>
      </x:c>
      <x:c r="C68" s="20" t="str">
        <x:v>List CVEs associated with the module and justify non-relevance or document mitigation; maintain a continuing CVE process.</x:v>
      </x:c>
      <x:c r="D68" s="20" t="str">
        <x:v>Required</x:v>
      </x:c>
      <x:c r="E68" s="20" t="str">
        <x:v>All / software</x:v>
      </x:c>
      <x:c r="F68" s="20" t="str">
        <x:v>SP 800-140</x:v>
      </x:c>
      <x:c r="G68" s="20" t="str">
        <x:v>§6.11 VE11.38.03 / TE11.38.03</x:v>
      </x:c>
      <x:c r="H68" s="20" t="str">
        <x:v>IG 11.A; Management Manual Annex A.2</x:v>
      </x:c>
      <x:c r="I68" s="20" t="str">
        <x:v>No</x:v>
      </x:c>
      <x:c r="J68" s="20" t="str">
        <x:v>SBOM, CVE register, signed assessments, release/revalidation records</x:v>
      </x:c>
      <x:c r="K68" s="20" t="str">
        <x:v>Include third-party Rust dependencies and toolchain components within the defined boundary.</x:v>
      </x:c>
      <x:c r="L68" s="20" t="str">
        <x:v>Open</x:v>
      </x:c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 ht="72" customHeight="1">
      <x:c r="A69" s="20" t="str">
        <x:v>ALG-001</x:v>
      </x:c>
      <x:c r="B69" s="20" t="str">
        <x:v>Approved functions</x:v>
      </x:c>
      <x:c r="C69" s="20" t="str">
        <x:v>Use only functions on the current SP 800-140C approved list in approved security services.</x:v>
      </x:c>
      <x:c r="D69" s="20" t="str">
        <x:v>Required</x:v>
      </x:c>
      <x:c r="E69" s="20" t="str">
        <x:v>Approved mode</x:v>
      </x:c>
      <x:c r="F69" s="20" t="str">
        <x:v>SP 800-140Cr2</x:v>
      </x:c>
      <x:c r="G69" s="20" t="str">
        <x:v>§6</x:v>
      </x:c>
      <x:c r="H69" s="20" t="str">
        <x:v>SP 800-140C supplemental page</x:v>
      </x:c>
      <x:c r="I69" s="20" t="str">
        <x:v>No</x:v>
      </x:c>
      <x:c r="J69" s="20" t="str">
        <x:v>Approved-function register and update monitoring</x:v>
      </x:c>
      <x:c r="K69" s="20" t="str">
        <x:v>The live supplemental page is intentionally mutable.</x:v>
      </x:c>
      <x:c r="L69" s="20" t="str">
        <x:v>Open</x:v>
      </x:c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 ht="72" customHeight="1">
      <x:c r="A70" s="20" t="str">
        <x:v>ALG-002</x:v>
      </x:c>
      <x:c r="B70" s="20" t="str">
        <x:v>AES-GCM</x:v>
      </x:c>
      <x:c r="C70" s="20" t="str">
        <x:v>Implement AES-256 in conformance with FIPS 197 and GCM/GMAC in conformance with SP 800-38D, including IV-generation/uniqueness rules.</x:v>
      </x:c>
      <x:c r="D70" s="20" t="str">
        <x:v>Required</x:v>
      </x:c>
      <x:c r="E70" s="20" t="str">
        <x:v>CNSA symmetric encryption</x:v>
      </x:c>
      <x:c r="F70" s="20" t="str">
        <x:v>SP 800-140C supplemental</x:v>
      </x:c>
      <x:c r="G70" s="20" t="str">
        <x:v>§§6.2.2.1, 6.2.6.2</x:v>
      </x:c>
      <x:c r="H70" s="20" t="str">
        <x:v>IG C.H; FIPS 197; SP 800-38D §§7–8</x:v>
      </x:c>
      <x:c r="I70" s="20" t="str">
        <x:v>No</x:v>
      </x:c>
      <x:c r="J70" s="20" t="str">
        <x:v>Algorithm specification crosswalk; ACVP certificate; IV strategy and tests</x:v>
      </x:c>
      <x:c r="K70" s="20" t="str">
        <x:v>The GCM IV strategy is a module-level design constraint, not merely an algorithm test.</x:v>
      </x:c>
      <x:c r="L70" s="20" t="str">
        <x:v>Open</x:v>
      </x:c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 ht="72" customHeight="1">
      <x:c r="A71" s="20" t="str">
        <x:v>ALG-003</x:v>
      </x:c>
      <x:c r="B71" s="20" t="str">
        <x:v>SHA-2</x:v>
      </x:c>
      <x:c r="C71" s="20" t="str">
        <x:v>Implement claimed SHA-384/SHA-512 functions in conformance with FIPS 180-4 and obtain CAVP validation for each implementation/OE.</x:v>
      </x:c>
      <x:c r="D71" s="20" t="str">
        <x:v>Required</x:v>
      </x:c>
      <x:c r="E71" s="20" t="str">
        <x:v>CNSA hashing</x:v>
      </x:c>
      <x:c r="F71" s="20" t="str">
        <x:v>SP 800-140C supplemental</x:v>
      </x:c>
      <x:c r="G71" s="20" t="str">
        <x:v>§6.2.4.1</x:v>
      </x:c>
      <x:c r="H71" s="20" t="str">
        <x:v>FIPS 180-4; IG C.B</x:v>
      </x:c>
      <x:c r="I71" s="20" t="str">
        <x:v>No</x:v>
      </x:c>
      <x:c r="J71" s="20" t="str">
        <x:v>ACVP/CAVP evidence; conformance tests; CASTs</x:v>
      </x:c>
      <x:c r="K71" s="20" t="str">
        <x:v>Limit exposed variants to the intended profile unless there is a documented need.</x:v>
      </x:c>
      <x:c r="L71" s="20" t="str">
        <x:v>Open</x:v>
      </x:c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 ht="72" customHeight="1">
      <x:c r="A72" s="20" t="str">
        <x:v>ALG-004</x:v>
      </x:c>
      <x:c r="B72" s="20" t="str">
        <x:v>SHA-3/SHAKE</x:v>
      </x:c>
      <x:c r="C72" s="20" t="str">
        <x:v>If exposed or used internally, implement FIPS 202 SHA-3/SHAKE functions in conformance with FIPS 202 and current IG C.C testing rules.</x:v>
      </x:c>
      <x:c r="D72" s="20" t="str">
        <x:v>Conditional</x:v>
      </x:c>
      <x:c r="E72" s="20" t="str">
        <x:v>Implemented functions</x:v>
      </x:c>
      <x:c r="F72" s="20" t="str">
        <x:v>SP 800-140C supplemental</x:v>
      </x:c>
      <x:c r="G72" s="20" t="str">
        <x:v>§§6.2.4.2, 6.2.5.1</x:v>
      </x:c>
      <x:c r="H72" s="20" t="str">
        <x:v>FIPS 202; IG C.C</x:v>
      </x:c>
      <x:c r="I72" s="20" t="str">
        <x:v>No</x:v>
      </x:c>
      <x:c r="J72" s="20" t="str">
        <x:v>ACVP/CAVP evidence; CAST/embedded-coverage mapping</x:v>
      </x:c>
      <x:c r="K72" s="20" t="str">
        <x:v>Distinguish exposed SHAKE services from embedded ML-KEM/ML-DSA use.</x:v>
      </x:c>
      <x:c r="L72" s="20" t="str">
        <x:v>Open</x:v>
      </x:c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 ht="72" customHeight="1">
      <x:c r="A73" s="20" t="str">
        <x:v>ALG-005</x:v>
      </x:c>
      <x:c r="B73" s="20" t="str">
        <x:v>ML-KEM</x:v>
      </x:c>
      <x:c r="C73" s="20" t="str">
        <x:v>Implement ML-KEM-1024 in conformance with FIPS 203 and SP 800-227; obtain current CAVP validation for supported operations.</x:v>
      </x:c>
      <x:c r="D73" s="20" t="str">
        <x:v>Required</x:v>
      </x:c>
      <x:c r="E73" s="20" t="str">
        <x:v>CNSA key establishment</x:v>
      </x:c>
      <x:c r="F73" s="20" t="str">
        <x:v>SP 800-140D supplemental</x:v>
      </x:c>
      <x:c r="G73" s="20" t="str">
        <x:v>§6.2.10</x:v>
      </x:c>
      <x:c r="H73" s="20" t="str">
        <x:v>FIPS 203; SP 800-227; IG D.S</x:v>
      </x:c>
      <x:c r="I73" s="20" t="str">
        <x:v>No</x:v>
      </x:c>
      <x:c r="J73" s="20" t="str">
        <x:v>ACVP/CAVP evidence; full standards crosswalk; CASTs/PCTs</x:v>
      </x:c>
      <x:c r="K73" s="20" t="str">
        <x:v>Review current PQC FAQ and ACVP work-product at test time.</x:v>
      </x:c>
      <x:c r="L73" s="20" t="str">
        <x:v>Open</x:v>
      </x:c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 ht="72" customHeight="1">
      <x:c r="A74" s="20" t="str">
        <x:v>ALG-006</x:v>
      </x:c>
      <x:c r="B74" s="20" t="str">
        <x:v>ML-DSA</x:v>
      </x:c>
      <x:c r="C74" s="20" t="str">
        <x:v>Implement ML-DSA-87 in conformance with FIPS 204; obtain current CAVP validation for supported keygen/sign/verify operations.</x:v>
      </x:c>
      <x:c r="D74" s="20" t="str">
        <x:v>Required</x:v>
      </x:c>
      <x:c r="E74" s="20" t="str">
        <x:v>CNSA signatures</x:v>
      </x:c>
      <x:c r="F74" s="20" t="str">
        <x:v>SP 800-140C supplemental</x:v>
      </x:c>
      <x:c r="G74" s="20" t="str">
        <x:v>§6.2.3.1</x:v>
      </x:c>
      <x:c r="H74" s="20" t="str">
        <x:v>FIPS 204; IG 10.3.A</x:v>
      </x:c>
      <x:c r="I74" s="20" t="str">
        <x:v>No</x:v>
      </x:c>
      <x:c r="J74" s="20" t="str">
        <x:v>ACVP/CAVP evidence; full standards crosswalk; CASTs/PCTs</x:v>
      </x:c>
      <x:c r="K74" s="20" t="str">
        <x:v>Randomized/hedged signing brings entropy requirements into the operational service.</x:v>
      </x:c>
      <x:c r="L74" s="20" t="str">
        <x:v>Open</x:v>
      </x:c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 ht="72" customHeight="1">
      <x:c r="A75" s="20" t="str">
        <x:v>ALG-007</x:v>
      </x:c>
      <x:c r="B75" s="20" t="str">
        <x:v>LMS/HSS</x:v>
      </x:c>
      <x:c r="C75" s="20" t="str">
        <x:v>Do not claim approved LMS/HSS key generation or signature generation in a Level 1 software-only module.</x:v>
      </x:c>
      <x:c r="D75" s="20" t="str">
        <x:v>Blocked</x:v>
      </x:c>
      <x:c r="E75" s="20" t="str">
        <x:v>Level 1 / software</x:v>
      </x:c>
      <x:c r="F75" s="20" t="str">
        <x:v>FIPS 140-3 IG</x:v>
      </x:c>
      <x:c r="G75" s="20" t="str">
        <x:v>10.3.A Note 8; C.N</x:v>
      </x:c>
      <x:c r="H75" s="20" t="str">
        <x:v>SP 800-208 §8</x:v>
      </x:c>
      <x:c r="I75" s="20" t="str">
        <x:v>No</x:v>
      </x:c>
      <x:c r="J75" s="20" t="str">
        <x:v>Scope exclusion and API review</x:v>
      </x:c>
      <x:c r="K75" s="20" t="str">
        <x:v>SP 800-208 signing requires hardware, Level 3+ physical security, and non-modifiable/limited OE.</x:v>
      </x:c>
      <x:c r="L75" s="20" t="str">
        <x:v>Blocked</x:v>
      </x:c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 ht="72" customHeight="1">
      <x:c r="A76" s="20" t="str">
        <x:v>ALG-008</x:v>
      </x:c>
      <x:c r="B76" s="20" t="str">
        <x:v>XMSS/XMSSMT</x:v>
      </x:c>
      <x:c r="C76" s="20" t="str">
        <x:v>Do not claim approved XMSS/XMSSMT key generation or signature generation in a Level 1 software-only module.</x:v>
      </x:c>
      <x:c r="D76" s="20" t="str">
        <x:v>Blocked</x:v>
      </x:c>
      <x:c r="E76" s="20" t="str">
        <x:v>Level 1 / software</x:v>
      </x:c>
      <x:c r="F76" s="20" t="str">
        <x:v>FIPS 140-3 IG</x:v>
      </x:c>
      <x:c r="G76" s="20" t="str">
        <x:v>10.3.A Note 8; C.N</x:v>
      </x:c>
      <x:c r="H76" s="20" t="str">
        <x:v>SP 800-208 §8</x:v>
      </x:c>
      <x:c r="I76" s="20" t="str">
        <x:v>No</x:v>
      </x:c>
      <x:c r="J76" s="20" t="str">
        <x:v>Scope exclusion and API review</x:v>
      </x:c>
      <x:c r="K76" s="20" t="str">
        <x:v>The same Level 3 hardware/OE restriction applies.</x:v>
      </x:c>
      <x:c r="L76" s="20" t="str">
        <x:v>Blocked</x:v>
      </x:c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 ht="72" customHeight="1">
      <x:c r="A77" s="20" t="str">
        <x:v>ALG-009</x:v>
      </x:c>
      <x:c r="B77" s="20" t="str">
        <x:v>LMS/XMSS verification</x:v>
      </x:c>
      <x:c r="C77" s="20" t="str">
        <x:v>Signature verification may remain in scope if implemented using approved SP 800-208 parameter sets, validated as available, and covered by required CASTs.</x:v>
      </x:c>
      <x:c r="D77" s="20" t="str">
        <x:v>Conditional</x:v>
      </x:c>
      <x:c r="E77" s="20" t="str">
        <x:v>Verification only</x:v>
      </x:c>
      <x:c r="F77" s="20" t="str">
        <x:v>FIPS 140-3 IG</x:v>
      </x:c>
      <x:c r="G77" s="20" t="str">
        <x:v>10.3.A Resolution 5; C.N</x:v>
      </x:c>
      <x:c r="H77" s="20" t="str">
        <x:v>SP 800-208 §§5–8</x:v>
      </x:c>
      <x:c r="I77" s="20" t="str">
        <x:v>No</x:v>
      </x:c>
      <x:c r="J77" s="20" t="str">
        <x:v>CAVP availability confirmation; verification CASTs; parameter-set constraints</x:v>
      </x:c>
      <x:c r="K77" s="20" t="str">
        <x:v>Confirm CAVP support and CSTL interpretation before committing scope.</x:v>
      </x:c>
      <x:c r="L77" s="20" t="str">
        <x:v>Open</x:v>
      </x:c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 ht="72" customHeight="1">
      <x:c r="A78" s="20" t="str">
        <x:v>ALG-010</x:v>
      </x:c>
      <x:c r="B78" s="20" t="str">
        <x:v>Algorithm transitions</x:v>
      </x:c>
      <x:c r="C78" s="20" t="str">
        <x:v>Monitor SP 800-131A transitions and CMVP supplemental change logs throughout development and validation.</x:v>
      </x:c>
      <x:c r="D78" s="20" t="str">
        <x:v>Required</x:v>
      </x:c>
      <x:c r="E78" s="20" t="str">
        <x:v>All algorithms</x:v>
      </x:c>
      <x:c r="F78" s="20" t="str">
        <x:v>SP 800-140C/D supplemental</x:v>
      </x:c>
      <x:c r="G78" s="20" t="str">
        <x:v>§6.2.1 and change logs</x:v>
      </x:c>
      <x:c r="H78" s="20" t="str">
        <x:v>CMVP Management Manual §7.1.12</x:v>
      </x:c>
      <x:c r="I78" s="20" t="str">
        <x:v>No</x:v>
      </x:c>
      <x:c r="J78" s="20" t="str">
        <x:v>Transition register and release gate</x:v>
      </x:c>
      <x:c r="K78" s="20" t="str">
        <x:v>A transition can move a module to Historical status or require revalidation.</x:v>
      </x:c>
      <x:c r="L78" s="20" t="str">
        <x:v>Open</x:v>
      </x:c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 ht="72" customHeight="1">
      <x:c r="A79" s="20" t="str">
        <x:v>ATT-001</x:v>
      </x:c>
      <x:c r="B79" s="20" t="str">
        <x:v>Other attacks</x:v>
      </x:c>
      <x:c r="C79" s="20" t="str">
        <x:v>If no mitigation of other attacks is claimed, state that clearly; if claimed, list attacks, mechanisms, effectiveness, guidance, and constraints.</x:v>
      </x:c>
      <x:c r="D79" s="20" t="str">
        <x:v>Design choice</x:v>
      </x:c>
      <x:c r="E79" s="20" t="str">
        <x:v>Level 1 / software</x:v>
      </x:c>
      <x:c r="F79" s="20" t="str">
        <x:v>SP 800-140Br1</x:v>
      </x:c>
      <x:c r="G79" s="20" t="str">
        <x:v>§3.3.12</x:v>
      </x:c>
      <x:c r="H79" s="20" t="str">
        <x:v>ISO/IEC 19790 §7.12; IG 12.A</x:v>
      </x:c>
      <x:c r="I79" s="20" t="str">
        <x:v>Mapped in ISO Level 1 Index</x:v>
      </x:c>
      <x:c r="J79" s="20" t="str">
        <x:v>Security Policy section and claim decision</x:v>
      </x:c>
      <x:c r="K79" s="20" t="str">
        <x:v>Constant-time engineering may be documented as design assurance without making an unsupported CMVP mitigation claim.</x:v>
      </x:c>
      <x:c r="L79" s="20" t="str">
        <x:v>Open</x:v>
      </x:c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L2"/>
    <x:mergeCell ref="A3:L3"/>
  </x:mergeCells>
  <x:conditionalFormatting sqref="D7:D79">
    <x:cfRule type="containsText" dxfId="0" priority="1" operator="containsText" text="Blocked"/>
    <x:cfRule type="containsText" dxfId="1" priority="2" operator="containsText" text="ISO gap"/>
  </x:conditionalFormatting>
  <x:conditionalFormatting sqref="I7:I79">
    <x:cfRule type="containsText" dxfId="2" priority="3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8ddff38bad214196"/>
  </x:tableParts>
</x:worksheet>
</file>

<file path=xl/worksheets/sheet3.xml><?xml version="1.0" encoding="utf-8"?>
<x:worksheet xmlns:x="http://schemas.openxmlformats.org/spreadsheetml/2006/main">
  <x:sheetPr>
    <x:tabColor rgb="FF7030A0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2" hidden="0" customWidth="1"/>
    <x:col min="4" max="4" width="22" hidden="0" customWidth="1"/>
    <x:col min="5" max="5" width="28" hidden="0" customWidth="1"/>
    <x:col min="6" max="6" width="28" hidden="0" customWidth="1"/>
    <x:col min="7" max="7" width="22" hidden="0" customWidth="1"/>
    <x:col min="8" max="8" width="38" hidden="0" customWidth="1"/>
    <x:col min="9" max="9" width="38" hidden="0" customWidth="1"/>
    <x:col min="10" max="10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Algorithm Profile and Validation Constraints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Scope assumptions and algorithm-specific validation obligations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Algorithm / service</x:v>
      </x:c>
      <x:c r="B6" s="18" t="str">
        <x:v>Function</x:v>
      </x:c>
      <x:c r="C6" s="18" t="str">
        <x:v>Module scope</x:v>
      </x:c>
      <x:c r="D6" s="18" t="str">
        <x:v>Target parameter set</x:v>
      </x:c>
      <x:c r="E6" s="18" t="str">
        <x:v>Algorithm authority</x:v>
      </x:c>
      <x:c r="F6" s="18" t="str">
        <x:v>CMVP authority</x:v>
      </x:c>
      <x:c r="G6" s="18" t="str">
        <x:v>Validation mechanism</x:v>
      </x:c>
      <x:c r="H6" s="18" t="str">
        <x:v>Required self-tests</x:v>
      </x:c>
      <x:c r="I6" s="18" t="str">
        <x:v>Module-level dependencies</x:v>
      </x:c>
      <x:c r="J6" s="19" t="str">
        <x:v>Disposition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78" customHeight="1">
      <x:c r="A7" s="20" t="str">
        <x:v>AES-256-GCM</x:v>
      </x:c>
      <x:c r="B7" s="20" t="str">
        <x:v>Approved encryption/authentication</x:v>
      </x:c>
      <x:c r="C7" s="20" t="str">
        <x:v>In scope</x:v>
      </x:c>
      <x:c r="D7" s="20" t="str">
        <x:v>AES-256 only</x:v>
      </x:c>
      <x:c r="E7" s="20" t="str">
        <x:v>FIPS 197-upd1; SP 800-38D</x:v>
      </x:c>
      <x:c r="F7" s="20" t="str">
        <x:v>SP 800-140C §§6.2.2.1, 6.2.6.2</x:v>
      </x:c>
      <x:c r="G7" s="20" t="str">
        <x:v>ACVP-AES-GCM</x:v>
      </x:c>
      <x:c r="H7" s="20" t="str">
        <x:v>AES forward function; GCM authenticated-mode CAST; inverse only if implemented</x:v>
      </x:c>
      <x:c r="I7" s="20" t="str">
        <x:v>IV construction/uniqueness under IG C.H; SSP key lifecycle</x:v>
      </x:c>
      <x:c r="J7" s="20" t="str">
        <x:v>Required</x:v>
      </x:c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78" customHeight="1">
      <x:c r="A8" s="20" t="str">
        <x:v>SHA-384</x:v>
      </x:c>
      <x:c r="B8" s="20" t="str">
        <x:v>Secure hash</x:v>
      </x:c>
      <x:c r="C8" s="20" t="str">
        <x:v>In scope</x:v>
      </x:c>
      <x:c r="D8" s="20" t="str">
        <x:v>SHA-384</x:v>
      </x:c>
      <x:c r="E8" s="20" t="str">
        <x:v>FIPS 180-4</x:v>
      </x:c>
      <x:c r="F8" s="20" t="str">
        <x:v>SP 800-140C §6.2.4.1; IG C.B</x:v>
      </x:c>
      <x:c r="G8" s="20" t="str">
        <x:v>ACVP SHA2-384</x:v>
      </x:c>
      <x:c r="H8" s="20" t="str">
        <x:v>CAST unless approved higher-level coverage applies</x:v>
      </x:c>
      <x:c r="I8" s="20" t="str">
        <x:v>No SSP; integrity/self-test use must be mapped</x:v>
      </x:c>
      <x:c r="J8" s="20" t="str">
        <x:v>Required</x:v>
      </x:c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78" customHeight="1">
      <x:c r="A9" s="20" t="str">
        <x:v>SHA-512</x:v>
      </x:c>
      <x:c r="B9" s="20" t="str">
        <x:v>Secure hash</x:v>
      </x:c>
      <x:c r="C9" s="20" t="str">
        <x:v>In scope if project exposes it</x:v>
      </x:c>
      <x:c r="D9" s="20" t="str">
        <x:v>SHA-512</x:v>
      </x:c>
      <x:c r="E9" s="20" t="str">
        <x:v>FIPS 180-4</x:v>
      </x:c>
      <x:c r="F9" s="20" t="str">
        <x:v>SP 800-140C §6.2.4.1; IG C.B</x:v>
      </x:c>
      <x:c r="G9" s="20" t="str">
        <x:v>ACVP SHA2-512</x:v>
      </x:c>
      <x:c r="H9" s="20" t="str">
        <x:v>CAST unless approved higher-level coverage applies</x:v>
      </x:c>
      <x:c r="I9" s="20" t="str">
        <x:v>Verify CNSA profile need separately</x:v>
      </x:c>
      <x:c r="J9" s="20" t="str">
        <x:v>Conditional</x:v>
      </x:c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78" customHeight="1">
      <x:c r="A10" s="20" t="str">
        <x:v>SHA3-384 / SHA3-512</x:v>
      </x:c>
      <x:c r="B10" s="20" t="str">
        <x:v>Secure hash</x:v>
      </x:c>
      <x:c r="C10" s="20" t="str">
        <x:v>Optional/exposed service</x:v>
      </x:c>
      <x:c r="D10" s="20" t="str">
        <x:v>Only claimed variants</x:v>
      </x:c>
      <x:c r="E10" s="20" t="str">
        <x:v>FIPS 202</x:v>
      </x:c>
      <x:c r="F10" s="20" t="str">
        <x:v>SP 800-140C §6.2.4.2; IG C.C</x:v>
      </x:c>
      <x:c r="G10" s="20" t="str">
        <x:v>ACVP SHA3</x:v>
      </x:c>
      <x:c r="H10" s="20" t="str">
        <x:v>CAST per IG C.C/10.3.A</x:v>
      </x:c>
      <x:c r="I10" s="20" t="str">
        <x:v>Not necessary merely because SHAKE is embedded in PQC</x:v>
      </x:c>
      <x:c r="J10" s="20" t="str">
        <x:v>Conditional</x:v>
      </x:c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78" customHeight="1">
      <x:c r="A11" s="20" t="str">
        <x:v>SHAKE128 / SHAKE256</x:v>
      </x:c>
      <x:c r="B11" s="20" t="str">
        <x:v>XOF</x:v>
      </x:c>
      <x:c r="C11" s="20" t="str">
        <x:v>Embedded and/or exposed</x:v>
      </x:c>
      <x:c r="D11" s="20" t="str">
        <x:v>Only claimed variants</x:v>
      </x:c>
      <x:c r="E11" s="20" t="str">
        <x:v>FIPS 202</x:v>
      </x:c>
      <x:c r="F11" s="20" t="str">
        <x:v>SP 800-140C §6.2.5.1; IG C.C</x:v>
      </x:c>
      <x:c r="G11" s="20" t="str">
        <x:v>ACVP SHAKE</x:v>
      </x:c>
      <x:c r="H11" s="20" t="str">
        <x:v>CAST or explicitly approved embedded coverage</x:v>
      </x:c>
      <x:c r="I11" s="20" t="str">
        <x:v>Separate external service implementation from embedded PQC implementation</x:v>
      </x:c>
      <x:c r="J11" s="20" t="str">
        <x:v>Conditional</x:v>
      </x:c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78" customHeight="1">
      <x:c r="A12" s="20" t="str">
        <x:v>ML-KEM-1024</x:v>
      </x:c>
      <x:c r="B12" s="20" t="str">
        <x:v>KEM</x:v>
      </x:c>
      <x:c r="C12" s="20" t="str">
        <x:v>In scope</x:v>
      </x:c>
      <x:c r="D12" s="20" t="str">
        <x:v>ML-KEM-1024</x:v>
      </x:c>
      <x:c r="E12" s="20" t="str">
        <x:v>FIPS 203; SP 800-227</x:v>
      </x:c>
      <x:c r="F12" s="20" t="str">
        <x:v>SP 800-140D §6.2.10; IG D.S</x:v>
      </x:c>
      <x:c r="G12" s="20" t="str">
        <x:v>ACVP ML-KEM</x:v>
      </x:c>
      <x:c r="H12" s="20" t="str">
        <x:v>Encap, decap, keygen CASTs; decap rejection/non-rejection; PCT as applicable</x:v>
      </x:c>
      <x:c r="I12" s="20" t="str">
        <x:v>Entropy/randomness; ek/dk and shared-secret SSP lifecycle</x:v>
      </x:c>
      <x:c r="J12" s="20" t="str">
        <x:v>Required</x:v>
      </x:c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78" customHeight="1">
      <x:c r="A13" s="20" t="str">
        <x:v>ML-DSA-87</x:v>
      </x:c>
      <x:c r="B13" s="20" t="str">
        <x:v>Digital signature</x:v>
      </x:c>
      <x:c r="C13" s="20" t="str">
        <x:v>In scope</x:v>
      </x:c>
      <x:c r="D13" s="20" t="str">
        <x:v>ML-DSA-87</x:v>
      </x:c>
      <x:c r="E13" s="20" t="str">
        <x:v>FIPS 204</x:v>
      </x:c>
      <x:c r="F13" s="20" t="str">
        <x:v>SP 800-140C §6.2.3.1</x:v>
      </x:c>
      <x:c r="G13" s="20" t="str">
        <x:v>ACVP ML-DSA</x:v>
      </x:c>
      <x:c r="H13" s="20" t="str">
        <x:v>SigGen, SigVer, keygen CASTs; PCT as applicable</x:v>
      </x:c>
      <x:c r="I13" s="20" t="str">
        <x:v>Entropy for hedged signing; sk/seed zeroisation</x:v>
      </x:c>
      <x:c r="J13" s="20" t="str">
        <x:v>Required</x:v>
      </x:c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78" customHeight="1">
      <x:c r="A14" s="20" t="str">
        <x:v>LMS/HSS keygen/sign</x:v>
      </x:c>
      <x:c r="B14" s="20" t="str">
        <x:v>Stateful hash signature</x:v>
      </x:c>
      <x:c r="C14" s="20" t="str">
        <x:v>Out of Level 1 software scope</x:v>
      </x:c>
      <x:c r="D14" s="20" t="str">
        <x:v>Approved SP 800-208 parameter sets only</x:v>
      </x:c>
      <x:c r="E14" s="20" t="str">
        <x:v>SP 800-208</x:v>
      </x:c>
      <x:c r="F14" s="20" t="str">
        <x:v>IG 10.3.A Note 8; C.N/C.O</x:v>
      </x:c>
      <x:c r="G14" s="20" t="str">
        <x:v>Confirm current CAVP support</x:v>
      </x:c>
      <x:c r="H14" s="20" t="str">
        <x:v>Not eligible in this module</x:v>
      </x:c>
      <x:c r="I14" s="20" t="str">
        <x:v>Requires hardware module, Physical Level 3+, non-modifiable/limited OE; no private-key export</x:v>
      </x:c>
      <x:c r="J14" s="20" t="str">
        <x:v>Blocked</x:v>
      </x:c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78" customHeight="1">
      <x:c r="A15" s="20" t="str">
        <x:v>XMSS/XMSSMT keygen/sign</x:v>
      </x:c>
      <x:c r="B15" s="20" t="str">
        <x:v>Stateful hash signature</x:v>
      </x:c>
      <x:c r="C15" s="20" t="str">
        <x:v>Out of Level 1 software scope</x:v>
      </x:c>
      <x:c r="D15" s="20" t="str">
        <x:v>Approved SP 800-208 parameter sets only</x:v>
      </x:c>
      <x:c r="E15" s="20" t="str">
        <x:v>SP 800-208</x:v>
      </x:c>
      <x:c r="F15" s="20" t="str">
        <x:v>IG 10.3.A Note 8; C.N</x:v>
      </x:c>
      <x:c r="G15" s="20" t="str">
        <x:v>Confirm current CAVP support</x:v>
      </x:c>
      <x:c r="H15" s="20" t="str">
        <x:v>Not eligible in this module</x:v>
      </x:c>
      <x:c r="I15" s="20" t="str">
        <x:v>Same restriction as LMS/HSS</x:v>
      </x:c>
      <x:c r="J15" s="20" t="str">
        <x:v>Blocked</x:v>
      </x:c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78" customHeight="1">
      <x:c r="A16" s="20" t="str">
        <x:v>LMS/HSS verification</x:v>
      </x:c>
      <x:c r="B16" s="20" t="str">
        <x:v>Signature verification</x:v>
      </x:c>
      <x:c r="C16" s="20" t="str">
        <x:v>Potentially in scope</x:v>
      </x:c>
      <x:c r="D16" s="20" t="str">
        <x:v>Approved SP 800-208 parameter sets</x:v>
      </x:c>
      <x:c r="E16" s="20" t="str">
        <x:v>SP 800-208</x:v>
      </x:c>
      <x:c r="F16" s="20" t="str">
        <x:v>IG 10.3.A Resolution 5; C.N</x:v>
      </x:c>
      <x:c r="G16" s="20" t="str">
        <x:v>Confirm current CAVP support</x:v>
      </x:c>
      <x:c r="H16" s="20" t="str">
        <x:v>Verification CAST; underlying hash coverage</x:v>
      </x:c>
      <x:c r="I16" s="20" t="str">
        <x:v>CSTL pre-review recommended</x:v>
      </x:c>
      <x:c r="J16" s="20" t="str">
        <x:v>Conditional</x:v>
      </x:c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78" customHeight="1">
      <x:c r="A17" s="20" t="str">
        <x:v>XMSS/XMSSMT verification</x:v>
      </x:c>
      <x:c r="B17" s="20" t="str">
        <x:v>Signature verification</x:v>
      </x:c>
      <x:c r="C17" s="20" t="str">
        <x:v>Potentially in scope</x:v>
      </x:c>
      <x:c r="D17" s="20" t="str">
        <x:v>Approved SP 800-208 parameter sets</x:v>
      </x:c>
      <x:c r="E17" s="20" t="str">
        <x:v>SP 800-208</x:v>
      </x:c>
      <x:c r="F17" s="20" t="str">
        <x:v>IG 10.3.A Resolution 5; C.N</x:v>
      </x:c>
      <x:c r="G17" s="20" t="str">
        <x:v>Confirm current CAVP support</x:v>
      </x:c>
      <x:c r="H17" s="20" t="str">
        <x:v>Verification CAST; underlying hash coverage</x:v>
      </x:c>
      <x:c r="I17" s="20" t="str">
        <x:v>CSTL pre-review recommended</x:v>
      </x:c>
      <x:c r="J17" s="20" t="str">
        <x:v>Conditional</x:v>
      </x:c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78" customHeight="1">
      <x:c r="A18" s="20" t="str">
        <x:v>Approved DRBG</x:v>
      </x:c>
      <x:c r="B18" s="20" t="str">
        <x:v>Random bit generation</x:v>
      </x:c>
      <x:c r="C18" s="20" t="str">
        <x:v>Needed if randomness generated inside boundary</x:v>
      </x:c>
      <x:c r="D18" s="20" t="str">
        <x:v>Choose minimum construction</x:v>
      </x:c>
      <x:c r="E18" s="20" t="str">
        <x:v>SP 800-90A Rev.1; SP 800-90C</x:v>
      </x:c>
      <x:c r="F18" s="20" t="str">
        <x:v>SP 800-140C §§6.2.8–6.2.9; D §§6.2.12–6.2.13</x:v>
      </x:c>
      <x:c r="G18" s="20" t="str">
        <x:v>ACVP DRBG</x:v>
      </x:c>
      <x:c r="H18" s="20" t="str">
        <x:v>Instantiate/generate/reseed CASTs</x:v>
      </x:c>
      <x:c r="I18" s="20" t="str">
        <x:v>Requires validated entropy path and health tests</x:v>
      </x:c>
      <x:c r="J18" s="20" t="str">
        <x:v>Conditional</x:v>
      </x:c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78" customHeight="1">
      <x:c r="A19" s="20" t="str">
        <x:v>Entropy source</x:v>
      </x:c>
      <x:c r="B19" s="20" t="str">
        <x:v>Entropy</x:v>
      </x:c>
      <x:c r="C19" s="20" t="str">
        <x:v>Needed for internal RBG; external source still needs caveat/path treatment</x:v>
      </x:c>
      <x:c r="D19" s="20" t="str">
        <x:v>OE-specific</x:v>
      </x:c>
      <x:c r="E19" s="20" t="str">
        <x:v>SP 800-90B</x:v>
      </x:c>
      <x:c r="F19" s="20" t="str">
        <x:v>IG 9.3.A, D.J, D.K, D.O</x:v>
      </x:c>
      <x:c r="G19" s="20" t="str">
        <x:v>ESV</x:v>
      </x:c>
      <x:c r="H19" s="20" t="str">
        <x:v>Health tests and entropy evidence</x:v>
      </x:c>
      <x:c r="I19" s="20" t="str">
        <x:v>Strong driver of OE scope and validation cost</x:v>
      </x:c>
      <x:c r="J19" s="20" t="str">
        <x:v>Conditional</x:v>
      </x:c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J2"/>
    <x:mergeCell ref="A3:J3"/>
  </x:mergeCells>
  <x:conditionalFormatting sqref="J7:J19">
    <x:cfRule type="containsText" dxfId="3" priority="1" operator="containsText" text="Blocked"/>
    <x:cfRule type="containsText" dxfId="4" priority="2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346e0fd8d5a445ef"/>
  </x:tableParts>
</x:worksheet>
</file>

<file path=xl/worksheets/sheet4.xml><?xml version="1.0" encoding="utf-8"?>
<x:worksheet xmlns:x="http://schemas.openxmlformats.org/spreadsheetml/2006/main">
  <x:sheetPr>
    <x:tabColor rgb="FFC55A11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28" hidden="0" customWidth="1"/>
    <x:col min="4" max="4" width="52" hidden="0" customWidth="1"/>
    <x:col min="5" max="5" width="14" hidden="0" customWidth="1"/>
    <x:col min="6" max="6" width="54" hidden="0" customWidth="1"/>
    <x:col min="7" max="7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ISO Baseline Resolution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Former source gaps now mapped to the historical controlling editions; design evidence remains open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Gap ID</x:v>
      </x:c>
      <x:c r="B6" s="18" t="str">
        <x:v>Requirement area</x:v>
      </x:c>
      <x:c r="C6" s="18" t="str">
        <x:v>Controlling ISO clauses</x:v>
      </x:c>
      <x:c r="D6" s="18" t="str">
        <x:v>Missing information</x:v>
      </x:c>
      <x:c r="E6" s="18" t="str">
        <x:v>Priority</x:v>
      </x:c>
      <x:c r="F6" s="18" t="str">
        <x:v>Required manual action</x:v>
      </x:c>
      <x:c r="G6" s="19" t="str">
        <x:v>Status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80" customHeight="1">
      <x:c r="A7" s="20" t="str">
        <x:v>ISO-01</x:v>
      </x:c>
      <x:c r="B7" s="20" t="str">
        <x:v>General/security levels</x:v>
      </x:c>
      <x:c r="C7" s="20" t="str">
        <x:v>ISO/IEC 19790 §§6–7.1; ISO/IEC 24759 §§6.1</x:v>
      </x:c>
      <x:c r="D7" s="20" t="str">
        <x:v>The historical ISO base is available and the corresponding Level 1 assertion and VE/TE identifiers are indexed; project-specific applicability still requires design evidence.</x:v>
      </x:c>
      <x:c r="E7" s="20" t="str">
        <x:v>High</x:v>
      </x:c>
      <x:c r="F7" s="20" t="str">
        <x:v>Complete the project evidence crosswalk and reconcile each applicable assertion with the cited SP 800-140-series modification and current IG.</x:v>
      </x:c>
      <x:c r="G7" s="20" t="str">
        <x:v>Base mapped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80" customHeight="1">
      <x:c r="A8" s="20" t="str">
        <x:v>ISO-02</x:v>
      </x:c>
      <x:c r="B8" s="20" t="str">
        <x:v>Cryptographic module specification</x:v>
      </x:c>
      <x:c r="C8" s="20" t="str">
        <x:v>19790 §7.2; 24759 §6.2</x:v>
      </x:c>
      <x:c r="D8" s="20" t="str">
        <x:v>The historical ISO base is available and the corresponding Level 1 assertion and VE/TE identifiers are indexed; project-specific applicability still requires design evidence.</x:v>
      </x:c>
      <x:c r="E8" s="20" t="str">
        <x:v>High</x:v>
      </x:c>
      <x:c r="F8" s="20" t="str">
        <x:v>Complete the project evidence crosswalk and reconcile each applicable assertion with the cited SP 800-140-series modification and current IG.</x:v>
      </x:c>
      <x:c r="G8" s="20" t="str">
        <x:v>Base mapped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80" customHeight="1">
      <x:c r="A9" s="20" t="str">
        <x:v>ISO-03</x:v>
      </x:c>
      <x:c r="B9" s="20" t="str">
        <x:v>Interfaces</x:v>
      </x:c>
      <x:c r="C9" s="20" t="str">
        <x:v>19790 §7.3; 24759 §6.3</x:v>
      </x:c>
      <x:c r="D9" s="20" t="str">
        <x:v>The historical ISO base is available and the corresponding Level 1 assertion and VE/TE identifiers are indexed; project-specific applicability still requires design evidence.</x:v>
      </x:c>
      <x:c r="E9" s="20" t="str">
        <x:v>High</x:v>
      </x:c>
      <x:c r="F9" s="20" t="str">
        <x:v>Complete the project evidence crosswalk and reconcile each applicable assertion with the cited SP 800-140-series modification and current IG.</x:v>
      </x:c>
      <x:c r="G9" s="20" t="str">
        <x:v>Base mapped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80" customHeight="1">
      <x:c r="A10" s="20" t="str">
        <x:v>ISO-04</x:v>
      </x:c>
      <x:c r="B10" s="20" t="str">
        <x:v>Roles/services/authentication</x:v>
      </x:c>
      <x:c r="C10" s="20" t="str">
        <x:v>19790 §7.4; 24759 §6.4</x:v>
      </x:c>
      <x:c r="D10" s="20" t="str">
        <x:v>The historical ISO base is available and the corresponding Level 1 assertion and VE/TE identifiers are indexed; project-specific applicability still requires design evidence.</x:v>
      </x:c>
      <x:c r="E10" s="20" t="str">
        <x:v>High</x:v>
      </x:c>
      <x:c r="F10" s="20" t="str">
        <x:v>Complete the project evidence crosswalk and reconcile each applicable assertion with the cited SP 800-140-series modification and current IG.</x:v>
      </x:c>
      <x:c r="G10" s="20" t="str">
        <x:v>Base mapped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80" customHeight="1">
      <x:c r="A11" s="20" t="str">
        <x:v>ISO-05</x:v>
      </x:c>
      <x:c r="B11" s="20" t="str">
        <x:v>Software/firmware security</x:v>
      </x:c>
      <x:c r="C11" s="20" t="str">
        <x:v>19790 §7.5; 24759 §6.5</x:v>
      </x:c>
      <x:c r="D11" s="20" t="str">
        <x:v>The historical ISO base is available and the corresponding Level 1 assertion and VE/TE identifiers are indexed; project-specific applicability still requires design evidence.</x:v>
      </x:c>
      <x:c r="E11" s="20" t="str">
        <x:v>High</x:v>
      </x:c>
      <x:c r="F11" s="20" t="str">
        <x:v>Complete the project evidence crosswalk and reconcile each applicable assertion with the cited SP 800-140-series modification and current IG.</x:v>
      </x:c>
      <x:c r="G11" s="20" t="str">
        <x:v>Base mapped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80" customHeight="1">
      <x:c r="A12" s="20" t="str">
        <x:v>ISO-06</x:v>
      </x:c>
      <x:c r="B12" s="20" t="str">
        <x:v>Operational environment</x:v>
      </x:c>
      <x:c r="C12" s="20" t="str">
        <x:v>19790 §7.6; 24759 §6.6</x:v>
      </x:c>
      <x:c r="D12" s="20" t="str">
        <x:v>Level 1 modifiable-OE requirements are available, including AS06.05–AS06.08.</x:v>
      </x:c>
      <x:c r="E12" s="20" t="str">
        <x:v>Architecture critical</x:v>
      </x:c>
      <x:c r="F12" s="20" t="str">
        <x:v>Implement and test per-instance SSP control, OE process separation, documented restrictions, and module ownership of spawned processes.</x:v>
      </x:c>
      <x:c r="G12" s="20" t="str">
        <x:v>Base mapped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80" customHeight="1">
      <x:c r="A13" s="20" t="str">
        <x:v>ISO-07</x:v>
      </x:c>
      <x:c r="B13" s="20" t="str">
        <x:v>Physical security</x:v>
      </x:c>
      <x:c r="C13" s="20" t="str">
        <x:v>19790 §7.7; 24759 §6.7</x:v>
      </x:c>
      <x:c r="D13" s="20" t="str">
        <x:v>Pure software is expressly outside the §7.7 physical-security requirements.</x:v>
      </x:c>
      <x:c r="E13" s="20" t="str">
        <x:v>Resolved</x:v>
      </x:c>
      <x:c r="F13" s="20" t="str">
        <x:v>Document the exemption and keep the TOEPP treatment distinct from a physical-security claim.</x:v>
      </x:c>
      <x:c r="G13" s="20" t="str">
        <x:v>Base mapped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80" customHeight="1">
      <x:c r="A14" s="20" t="str">
        <x:v>ISO-08</x:v>
      </x:c>
      <x:c r="B14" s="20" t="str">
        <x:v>Non-invasive security</x:v>
      </x:c>
      <x:c r="C14" s="20" t="str">
        <x:v>19790 §7.8; 24759 §6.8</x:v>
      </x:c>
      <x:c r="D14" s="20" t="str">
        <x:v>The historical ISO base is available and the corresponding Level 1 assertion and VE/TE identifiers are indexed; project-specific applicability still requires design evidence.</x:v>
      </x:c>
      <x:c r="E14" s="20" t="str">
        <x:v>Medium</x:v>
      </x:c>
      <x:c r="F14" s="20" t="str">
        <x:v>Complete the project evidence crosswalk and reconcile each applicable assertion with the cited SP 800-140-series modification and current IG.</x:v>
      </x:c>
      <x:c r="G14" s="20" t="str">
        <x:v>Base mapped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80" customHeight="1">
      <x:c r="A15" s="20" t="str">
        <x:v>ISO-09</x:v>
      </x:c>
      <x:c r="B15" s="20" t="str">
        <x:v>SSP management</x:v>
      </x:c>
      <x:c r="C15" s="20" t="str">
        <x:v>19790 §7.9; 24759 §6.9</x:v>
      </x:c>
      <x:c r="D15" s="20" t="str">
        <x:v>The historical ISO base is available and the corresponding Level 1 assertion and VE/TE identifiers are indexed; project-specific applicability still requires design evidence.</x:v>
      </x:c>
      <x:c r="E15" s="20" t="str">
        <x:v>Critical</x:v>
      </x:c>
      <x:c r="F15" s="20" t="str">
        <x:v>Complete the project evidence crosswalk and reconcile each applicable assertion with the cited SP 800-140-series modification and current IG.</x:v>
      </x:c>
      <x:c r="G15" s="20" t="str">
        <x:v>Base mapped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80" customHeight="1">
      <x:c r="A16" s="20" t="str">
        <x:v>ISO-10</x:v>
      </x:c>
      <x:c r="B16" s="20" t="str">
        <x:v>Self-tests</x:v>
      </x:c>
      <x:c r="C16" s="20" t="str">
        <x:v>19790 §7.10; 24759 §6.10</x:v>
      </x:c>
      <x:c r="D16" s="20" t="str">
        <x:v>The historical ISO base is available and the corresponding Level 1 assertion and VE/TE identifiers are indexed; project-specific applicability still requires design evidence.</x:v>
      </x:c>
      <x:c r="E16" s="20" t="str">
        <x:v>Critical</x:v>
      </x:c>
      <x:c r="F16" s="20" t="str">
        <x:v>Complete the project evidence crosswalk and reconcile each applicable assertion with the cited SP 800-140-series modification and current IG.</x:v>
      </x:c>
      <x:c r="G16" s="20" t="str">
        <x:v>Base mapped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80" customHeight="1">
      <x:c r="A17" s="20" t="str">
        <x:v>ISO-11</x:v>
      </x:c>
      <x:c r="B17" s="20" t="str">
        <x:v>Life-cycle assurance</x:v>
      </x:c>
      <x:c r="C17" s="20" t="str">
        <x:v>19790 §7.11; 24759 §6.11</x:v>
      </x:c>
      <x:c r="D17" s="20" t="str">
        <x:v>The historical ISO base is available and the corresponding Level 1 assertion and VE/TE identifiers are indexed; project-specific applicability still requires design evidence.</x:v>
      </x:c>
      <x:c r="E17" s="20" t="str">
        <x:v>Critical</x:v>
      </x:c>
      <x:c r="F17" s="20" t="str">
        <x:v>Complete the project evidence crosswalk and reconcile each applicable assertion with the cited SP 800-140-series modification and current IG.</x:v>
      </x:c>
      <x:c r="G17" s="20" t="str">
        <x:v>Base mapped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80" customHeight="1">
      <x:c r="A18" s="20" t="str">
        <x:v>ISO-12</x:v>
      </x:c>
      <x:c r="B18" s="20" t="str">
        <x:v>Mitigation of other attacks</x:v>
      </x:c>
      <x:c r="C18" s="20" t="str">
        <x:v>19790 §7.12; 24759 §6.12</x:v>
      </x:c>
      <x:c r="D18" s="20" t="str">
        <x:v>The historical ISO base is available and the corresponding Level 1 assertion and VE/TE identifiers are indexed; project-specific applicability still requires design evidence.</x:v>
      </x:c>
      <x:c r="E18" s="20" t="str">
        <x:v>Medium</x:v>
      </x:c>
      <x:c r="F18" s="20" t="str">
        <x:v>Complete the project evidence crosswalk and reconcile each applicable assertion with the cited SP 800-140-series modification and current IG.</x:v>
      </x:c>
      <x:c r="G18" s="20" t="str">
        <x:v>Base mapped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80" customHeight="1">
      <x:c r="A19" s="20" t="str">
        <x:v>ISO-13</x:v>
      </x:c>
      <x:c r="B19" s="20" t="str">
        <x:v>Documentation</x:v>
      </x:c>
      <x:c r="C19" s="20" t="str">
        <x:v>19790 Annex A; 24759 §6.13</x:v>
      </x:c>
      <x:c r="D19" s="20" t="str">
        <x:v>The historical ISO base is available and the corresponding Level 1 assertion and VE/TE identifiers are indexed; project-specific applicability still requires design evidence.</x:v>
      </x:c>
      <x:c r="E19" s="20" t="str">
        <x:v>Critical</x:v>
      </x:c>
      <x:c r="F19" s="20" t="str">
        <x:v>Complete the project evidence crosswalk and reconcile each applicable assertion with the cited SP 800-140-series modification and current IG.</x:v>
      </x:c>
      <x:c r="G19" s="20" t="str">
        <x:v>Base mapped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80" customHeight="1">
      <x:c r="A20" s="20" t="str">
        <x:v>ISO-14</x:v>
      </x:c>
      <x:c r="B20" s="20" t="str">
        <x:v>Security Policy</x:v>
      </x:c>
      <x:c r="C20" s="20" t="str">
        <x:v>19790 Annex B; 24759 §6.14</x:v>
      </x:c>
      <x:c r="D20" s="20" t="str">
        <x:v>The historical ISO base is available and the corresponding Level 1 assertion and VE/TE identifiers are indexed; project-specific applicability still requires design evidence.</x:v>
      </x:c>
      <x:c r="E20" s="20" t="str">
        <x:v>Critical</x:v>
      </x:c>
      <x:c r="F20" s="20" t="str">
        <x:v>Complete the project evidence crosswalk and reconcile each applicable assertion with the cited SP 800-140-series modification and current IG.</x:v>
      </x:c>
      <x:c r="G20" s="20" t="str">
        <x:v>Base mapped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conditionalFormatting sqref="E7:E20">
    <x:cfRule type="containsText" dxfId="5" priority="1" operator="containsText" text="Critical"/>
    <x:cfRule type="containsText" dxfId="6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a12d103405684a22"/>
  </x:tableParts>
</x:worksheet>
</file>

<file path=xl/worksheets/sheet5.xml><?xml version="1.0" encoding="utf-8"?>
<x:worksheet xmlns:x="http://schemas.openxmlformats.org/spreadsheetml/2006/main">
  <x:sheetPr>
    <x:tabColor rgb="FF54823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30" hidden="0" customWidth="1"/>
    <x:col min="4" max="4" width="18" hidden="0" customWidth="1"/>
    <x:col min="5" max="5" width="52" hidden="0" customWidth="1"/>
    <x:col min="6" max="6" width="28" hidden="0" customWidth="1"/>
    <x:col min="7" max="7" width="31" hidden="0" customWidth="1"/>
    <x:col min="8" max="8" width="40" hidden="0" customWidth="1"/>
    <x:col min="9" max="9" width="46" hidden="0" customWidth="1"/>
    <x:col min="10" max="10" width="34" hidden="0" customWidth="1"/>
    <x:col min="11" max="11" width="55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ISO Level 1 Assertion Index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Restricted-source crosswalk: identifiers and project paraphrases only; apply NIST modifications before implementation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Assertion ID</x:v>
      </x:c>
      <x:c r="B6" s="18" t="str">
        <x:v>Area</x:v>
      </x:c>
      <x:c r="C6" s="18" t="str">
        <x:v>Requirement focus</x:v>
      </x:c>
      <x:c r="D6" s="18" t="str">
        <x:v>Project applicability</x:v>
      </x:c>
      <x:c r="E6" s="18" t="str">
        <x:v>Applicability basis</x:v>
      </x:c>
      <x:c r="F6" s="18" t="str">
        <x:v>ISO/IEC 19790 source</x:v>
      </x:c>
      <x:c r="G6" s="18" t="str">
        <x:v>ISO/IEC 24759 source</x:v>
      </x:c>
      <x:c r="H6" s="18" t="str">
        <x:v>Vendor evidence IDs</x:v>
      </x:c>
      <x:c r="I6" s="18" t="str">
        <x:v>Tester evidence IDs</x:v>
      </x:c>
      <x:c r="J6" s="18" t="str">
        <x:v>NIST modification / replacement</x:v>
      </x:c>
      <x:c r="K6" s="18" t="str">
        <x:v>Expected project evidence</x:v>
      </x:c>
      <x:c r="L6" s="19" t="str">
        <x:v>Review status</x:v>
      </x:c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70" customHeight="1">
      <x:c r="A7" s="20" t="str">
        <x:v>AS01.01</x:v>
      </x:c>
      <x:c r="B7" s="20" t="str">
        <x:v>General</x:v>
      </x:c>
      <x:c r="C7" s="20" t="str">
        <x:v>general</x:v>
      </x:c>
      <x:c r="D7" s="20" t="str">
        <x:v>Required</x:v>
      </x:c>
      <x:c r="E7" s="20" t="str">
        <x:v>Baseline Level 1 requirement for the proposed module, subject to the cited NIST modification or replacement.</x:v>
      </x:c>
      <x:c r="F7" s="20" t="str">
        <x:v>ISO/IEC 19790:2012 §§6–7.1</x:v>
      </x:c>
      <x:c r="G7" s="20" t="str">
        <x:v>ISO/IEC 24759:2017 §6.1, AS01.01</x:v>
      </x:c>
      <x:c r="H7" s="20" t="str">
        <x:v>—</x:v>
      </x:c>
      <x:c r="I7" s="20" t="str">
        <x:v>—</x:v>
      </x:c>
      <x:c r="J7" s="20" t="str">
        <x:v>SP 800-140 §6.1</x:v>
      </x:c>
      <x:c r="K7" s="20" t="str">
        <x:v>Module submission baseline and independent area ratings</x:v>
      </x:c>
      <x:c r="L7" s="20" t="str">
        <x:v>Architecture review</x:v>
      </x:c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70" customHeight="1">
      <x:c r="A8" s="20" t="str">
        <x:v>AS01.02</x:v>
      </x:c>
      <x:c r="B8" s="20" t="str">
        <x:v>General</x:v>
      </x:c>
      <x:c r="C8" s="20" t="str">
        <x:v>general</x:v>
      </x:c>
      <x:c r="D8" s="20" t="str">
        <x:v>Required</x:v>
      </x:c>
      <x:c r="E8" s="20" t="str">
        <x:v>Baseline Level 1 requirement for the proposed module, subject to the cited NIST modification or replacement.</x:v>
      </x:c>
      <x:c r="F8" s="20" t="str">
        <x:v>ISO/IEC 19790:2012 §§6–7.1</x:v>
      </x:c>
      <x:c r="G8" s="20" t="str">
        <x:v>ISO/IEC 24759:2017 §6.1, AS01.02</x:v>
      </x:c>
      <x:c r="H8" s="20" t="str">
        <x:v>—</x:v>
      </x:c>
      <x:c r="I8" s="20" t="str">
        <x:v>—</x:v>
      </x:c>
      <x:c r="J8" s="20" t="str">
        <x:v>SP 800-140 §6.1</x:v>
      </x:c>
      <x:c r="K8" s="20" t="str">
        <x:v>Module submission baseline and independent area ratings</x:v>
      </x:c>
      <x:c r="L8" s="20" t="str">
        <x:v>Architecture review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70" customHeight="1">
      <x:c r="A9" s="20" t="str">
        <x:v>AS01.03</x:v>
      </x:c>
      <x:c r="B9" s="20" t="str">
        <x:v>General</x:v>
      </x:c>
      <x:c r="C9" s="20" t="str">
        <x:v>general</x:v>
      </x:c>
      <x:c r="D9" s="20" t="str">
        <x:v>Required</x:v>
      </x:c>
      <x:c r="E9" s="20" t="str">
        <x:v>Baseline Level 1 requirement for the proposed module, subject to the cited NIST modification or replacement.</x:v>
      </x:c>
      <x:c r="F9" s="20" t="str">
        <x:v>ISO/IEC 19790:2012 §§6–7.1</x:v>
      </x:c>
      <x:c r="G9" s="20" t="str">
        <x:v>ISO/IEC 24759:2017 §6.1, AS01.03</x:v>
      </x:c>
      <x:c r="H9" s="20" t="str">
        <x:v>—</x:v>
      </x:c>
      <x:c r="I9" s="20" t="str">
        <x:v>—</x:v>
      </x:c>
      <x:c r="J9" s="20" t="str">
        <x:v>SP 800-140 §6.1</x:v>
      </x:c>
      <x:c r="K9" s="20" t="str">
        <x:v>Module submission baseline and independent area ratings</x:v>
      </x:c>
      <x:c r="L9" s="20" t="str">
        <x:v>Architecture review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70" customHeight="1">
      <x:c r="A10" s="20" t="str">
        <x:v>AS01.04</x:v>
      </x:c>
      <x:c r="B10" s="20" t="str">
        <x:v>General</x:v>
      </x:c>
      <x:c r="C10" s="20" t="str">
        <x:v>delivery/install</x:v>
      </x:c>
      <x:c r="D10" s="20" t="str">
        <x:v>Required</x:v>
      </x:c>
      <x:c r="E10" s="20" t="str">
        <x:v>Baseline Level 1 requirement for the proposed module, subject to the cited NIST modification or replacement.</x:v>
      </x:c>
      <x:c r="F10" s="20" t="str">
        <x:v>ISO/IEC 19790:2012 §§6–7.1</x:v>
      </x:c>
      <x:c r="G10" s="20" t="str">
        <x:v>ISO/IEC 24759:2017 §6.1, AS01.04</x:v>
      </x:c>
      <x:c r="H10" s="20" t="str">
        <x:v>—</x:v>
      </x:c>
      <x:c r="I10" s="20" t="str">
        <x:v>—</x:v>
      </x:c>
      <x:c r="J10" s="20" t="str">
        <x:v>SP 800-140 §6.1</x:v>
      </x:c>
      <x:c r="K10" s="20" t="str">
        <x:v>Module submission baseline and independent area ratings</x:v>
      </x:c>
      <x:c r="L10" s="20" t="str">
        <x:v>Architecture review</x:v>
      </x:c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70" customHeight="1">
      <x:c r="A11" s="20" t="str">
        <x:v>AS02.01</x:v>
      </x:c>
      <x:c r="B11" s="20" t="str">
        <x:v>Module specification</x:v>
      </x:c>
      <x:c r="C11" s="20" t="str">
        <x:v>boundary; approved functions; services</x:v>
      </x:c>
      <x:c r="D11" s="20" t="str">
        <x:v>Required</x:v>
      </x:c>
      <x:c r="E11" s="20" t="str">
        <x:v>Baseline Level 1 requirement for the proposed module, subject to the cited NIST modification or replacement.</x:v>
      </x:c>
      <x:c r="F11" s="20" t="str">
        <x:v>ISO/IEC 19790:2012 §7.2</x:v>
      </x:c>
      <x:c r="G11" s="20" t="str">
        <x:v>ISO/IEC 24759:2017 §6.2, AS02.01</x:v>
      </x:c>
      <x:c r="H11" s="20" t="str">
        <x:v>—</x:v>
      </x:c>
      <x:c r="I11" s="20" t="str">
        <x:v>—</x:v>
      </x:c>
      <x:c r="J11" s="20" t="str">
        <x:v>SP 800-140 §6.2 / SP 800-140B</x:v>
      </x:c>
      <x:c r="K11" s="20" t="str">
        <x:v>Boundary, type, modes, algorithms, diagrams, and service indicator</x:v>
      </x:c>
      <x:c r="L11" s="20" t="str">
        <x:v>Architecture review</x:v>
      </x:c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70" customHeight="1">
      <x:c r="A12" s="20" t="str">
        <x:v>AS02.02</x:v>
      </x:c>
      <x:c r="B12" s="20" t="str">
        <x:v>Module specification</x:v>
      </x:c>
      <x:c r="C12" s="20" t="str">
        <x:v>module specification</x:v>
      </x:c>
      <x:c r="D12" s="20" t="str">
        <x:v>Required</x:v>
      </x:c>
      <x:c r="E12" s="20" t="str">
        <x:v>Baseline Level 1 requirement for the proposed module, subject to the cited NIST modification or replacement.</x:v>
      </x:c>
      <x:c r="F12" s="20" t="str">
        <x:v>ISO/IEC 19790:2012 §7.2</x:v>
      </x:c>
      <x:c r="G12" s="20" t="str">
        <x:v>ISO/IEC 24759:2017 §6.2, AS02.02</x:v>
      </x:c>
      <x:c r="H12" s="20" t="str">
        <x:v>—</x:v>
      </x:c>
      <x:c r="I12" s="20" t="str">
        <x:v>—</x:v>
      </x:c>
      <x:c r="J12" s="20" t="str">
        <x:v>SP 800-140 §6.2 / SP 800-140B</x:v>
      </x:c>
      <x:c r="K12" s="20" t="str">
        <x:v>Boundary, type, modes, algorithms, diagrams, and service indicator</x:v>
      </x:c>
      <x:c r="L12" s="20" t="str">
        <x:v>Architecture review</x:v>
      </x:c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70" customHeight="1">
      <x:c r="A13" s="20" t="str">
        <x:v>AS02.03</x:v>
      </x:c>
      <x:c r="B13" s="20" t="str">
        <x:v>Module specification</x:v>
      </x:c>
      <x:c r="C13" s="20" t="str">
        <x:v>boundary; module type; software loading</x:v>
      </x:c>
      <x:c r="D13" s="20" t="str">
        <x:v>Required</x:v>
      </x:c>
      <x:c r="E13" s="20" t="str">
        <x:v>Baseline Level 1 requirement for the proposed module, subject to the cited NIST modification or replacement.</x:v>
      </x:c>
      <x:c r="F13" s="20" t="str">
        <x:v>ISO/IEC 19790:2012 §7.2</x:v>
      </x:c>
      <x:c r="G13" s="20" t="str">
        <x:v>ISO/IEC 24759:2017 §6.2, AS02.03</x:v>
      </x:c>
      <x:c r="H13" s="20" t="str">
        <x:v>VE02.03.01, VE02.03.02</x:v>
      </x:c>
      <x:c r="I13" s="20" t="str">
        <x:v>TE02.03.01, TE02.03.02</x:v>
      </x:c>
      <x:c r="J13" s="20" t="str">
        <x:v>SP 800-140 §6.2 / SP 800-140B</x:v>
      </x:c>
      <x:c r="K13" s="20" t="str">
        <x:v>Boundary, type, modes, algorithms, diagrams, and service indicator</x:v>
      </x:c>
      <x:c r="L13" s="20" t="str">
        <x:v>Architecture review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70" customHeight="1">
      <x:c r="A14" s="20" t="str">
        <x:v>AS02.04</x:v>
      </x:c>
      <x:c r="B14" s="20" t="str">
        <x:v>Module specification</x:v>
      </x:c>
      <x:c r="C14" s="20" t="str">
        <x:v>module type</x:v>
      </x:c>
      <x:c r="D14" s="20" t="str">
        <x:v>Not applicable</x:v>
      </x:c>
      <x:c r="E14" s="20" t="str">
        <x:v>Requirement is limited to hardware and firmware embodiments; the proposed module is pure software.</x:v>
      </x:c>
      <x:c r="F14" s="20" t="str">
        <x:v>ISO/IEC 19790:2012 §7.2</x:v>
      </x:c>
      <x:c r="G14" s="20" t="str">
        <x:v>ISO/IEC 24759:2017 §6.2, AS02.04</x:v>
      </x:c>
      <x:c r="H14" s="20" t="str">
        <x:v>—</x:v>
      </x:c>
      <x:c r="I14" s="20" t="str">
        <x:v>—</x:v>
      </x:c>
      <x:c r="J14" s="20" t="str">
        <x:v>SP 800-140 §6.2 / SP 800-140B</x:v>
      </x:c>
      <x:c r="K14" s="20" t="str">
        <x:v>Boundary, type, modes, algorithms, diagrams, and service indicator</x:v>
      </x:c>
      <x:c r="L14" s="20" t="str">
        <x:v>Architecture review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70" customHeight="1">
      <x:c r="A15" s="20" t="str">
        <x:v>AS02.05</x:v>
      </x:c>
      <x:c r="B15" s="20" t="str">
        <x:v>Module specification</x:v>
      </x:c>
      <x:c r="C15" s="20" t="str">
        <x:v>module type</x:v>
      </x:c>
      <x:c r="D15" s="20" t="str">
        <x:v>Required</x:v>
      </x:c>
      <x:c r="E15" s="20" t="str">
        <x:v>Baseline Level 1 requirement for the proposed module, subject to the cited NIST modification or replacement.</x:v>
      </x:c>
      <x:c r="F15" s="20" t="str">
        <x:v>ISO/IEC 19790:2012 §7.2</x:v>
      </x:c>
      <x:c r="G15" s="20" t="str">
        <x:v>ISO/IEC 24759:2017 §6.2, AS02.05</x:v>
      </x:c>
      <x:c r="H15" s="20" t="str">
        <x:v>—</x:v>
      </x:c>
      <x:c r="I15" s="20" t="str">
        <x:v>—</x:v>
      </x:c>
      <x:c r="J15" s="20" t="str">
        <x:v>SP 800-140 §6.2 / SP 800-140B</x:v>
      </x:c>
      <x:c r="K15" s="20" t="str">
        <x:v>Boundary, type, modes, algorithms, diagrams, and service indicator</x:v>
      </x:c>
      <x:c r="L15" s="20" t="str">
        <x:v>Architecture review</x:v>
      </x:c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70" customHeight="1">
      <x:c r="A16" s="20" t="str">
        <x:v>AS02.06</x:v>
      </x:c>
      <x:c r="B16" s="20" t="str">
        <x:v>Module specification</x:v>
      </x:c>
      <x:c r="C16" s="20" t="str">
        <x:v>boundary</x:v>
      </x:c>
      <x:c r="D16" s="20" t="str">
        <x:v>Not applicable</x:v>
      </x:c>
      <x:c r="E16" s="20" t="str">
        <x:v>Embodiment-specific requirement does not apply to the proposed pure-software module.</x:v>
      </x:c>
      <x:c r="F16" s="20" t="str">
        <x:v>ISO/IEC 19790:2012 §7.2</x:v>
      </x:c>
      <x:c r="G16" s="20" t="str">
        <x:v>ISO/IEC 24759:2017 §6.2, AS02.06</x:v>
      </x:c>
      <x:c r="H16" s="20" t="str">
        <x:v>—</x:v>
      </x:c>
      <x:c r="I16" s="20" t="str">
        <x:v>—</x:v>
      </x:c>
      <x:c r="J16" s="20" t="str">
        <x:v>SP 800-140 §6.2 / SP 800-140B</x:v>
      </x:c>
      <x:c r="K16" s="20" t="str">
        <x:v>Boundary, type, modes, algorithms, diagrams, and service indicator</x:v>
      </x:c>
      <x:c r="L16" s="20" t="str">
        <x:v>Architecture review</x:v>
      </x:c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70" customHeight="1">
      <x:c r="A17" s="20" t="str">
        <x:v>AS02.07</x:v>
      </x:c>
      <x:c r="B17" s="20" t="str">
        <x:v>Module specification</x:v>
      </x:c>
      <x:c r="C17" s="20" t="str">
        <x:v>boundary</x:v>
      </x:c>
      <x:c r="D17" s="20" t="str">
        <x:v>Required</x:v>
      </x:c>
      <x:c r="E17" s="20" t="str">
        <x:v>Baseline Level 1 requirement for the proposed module, subject to the cited NIST modification or replacement.</x:v>
      </x:c>
      <x:c r="F17" s="20" t="str">
        <x:v>ISO/IEC 19790:2012 §7.2</x:v>
      </x:c>
      <x:c r="G17" s="20" t="str">
        <x:v>ISO/IEC 24759:2017 §6.2, AS02.07</x:v>
      </x:c>
      <x:c r="H17" s="20" t="str">
        <x:v>VE02.07.01</x:v>
      </x:c>
      <x:c r="I17" s="20" t="str">
        <x:v>TE02.07.01, TE02.07.02</x:v>
      </x:c>
      <x:c r="J17" s="20" t="str">
        <x:v>SP 800-140 §6.2 / SP 800-140B</x:v>
      </x:c>
      <x:c r="K17" s="20" t="str">
        <x:v>Boundary, type, modes, algorithms, diagrams, and service indicator</x:v>
      </x:c>
      <x:c r="L17" s="20" t="str">
        <x:v>Architecture review</x:v>
      </x:c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70" customHeight="1">
      <x:c r="A18" s="20" t="str">
        <x:v>AS02.08</x:v>
      </x:c>
      <x:c r="B18" s="20" t="str">
        <x:v>Module specification</x:v>
      </x:c>
      <x:c r="C18" s="20" t="str">
        <x:v>boundary</x:v>
      </x:c>
      <x:c r="D18" s="20" t="str">
        <x:v>Required</x:v>
      </x:c>
      <x:c r="E18" s="20" t="str">
        <x:v>Baseline Level 1 requirement for the proposed module, subject to the cited NIST modification or replacement.</x:v>
      </x:c>
      <x:c r="F18" s="20" t="str">
        <x:v>ISO/IEC 19790:2012 §7.2</x:v>
      </x:c>
      <x:c r="G18" s="20" t="str">
        <x:v>ISO/IEC 24759:2017 §6.2, AS02.08</x:v>
      </x:c>
      <x:c r="H18" s="20" t="str">
        <x:v>—</x:v>
      </x:c>
      <x:c r="I18" s="20" t="str">
        <x:v>—</x:v>
      </x:c>
      <x:c r="J18" s="20" t="str">
        <x:v>SP 800-140 §6.2 / SP 800-140B</x:v>
      </x:c>
      <x:c r="K18" s="20" t="str">
        <x:v>Boundary, type, modes, algorithms, diagrams, and service indicator</x:v>
      </x:c>
      <x:c r="L18" s="20" t="str">
        <x:v>Architecture review</x:v>
      </x:c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70" customHeight="1">
      <x:c r="A19" s="20" t="str">
        <x:v>AS02.09</x:v>
      </x:c>
      <x:c r="B19" s="20" t="str">
        <x:v>Module specification</x:v>
      </x:c>
      <x:c r="C19" s="20" t="str">
        <x:v>boundary</x:v>
      </x:c>
      <x:c r="D19" s="20" t="str">
        <x:v>Required</x:v>
      </x:c>
      <x:c r="E19" s="20" t="str">
        <x:v>Baseline Level 1 requirement for the proposed module, subject to the cited NIST modification or replacement.</x:v>
      </x:c>
      <x:c r="F19" s="20" t="str">
        <x:v>ISO/IEC 19790:2012 §7.2</x:v>
      </x:c>
      <x:c r="G19" s="20" t="str">
        <x:v>ISO/IEC 24759:2017 §6.2, AS02.09</x:v>
      </x:c>
      <x:c r="H19" s="20" t="str">
        <x:v>VE02.09.01</x:v>
      </x:c>
      <x:c r="I19" s="20" t="str">
        <x:v>TE02.09.01</x:v>
      </x:c>
      <x:c r="J19" s="20" t="str">
        <x:v>SP 800-140 §6.2 / SP 800-140B</x:v>
      </x:c>
      <x:c r="K19" s="20" t="str">
        <x:v>Boundary, type, modes, algorithms, diagrams, and service indicator</x:v>
      </x:c>
      <x:c r="L19" s="20" t="str">
        <x:v>Architecture review</x:v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70" customHeight="1">
      <x:c r="A20" s="20" t="str">
        <x:v>AS02.10</x:v>
      </x:c>
      <x:c r="B20" s="20" t="str">
        <x:v>Module specification</x:v>
      </x:c>
      <x:c r="C20" s="20" t="str">
        <x:v>modes</x:v>
      </x:c>
      <x:c r="D20" s="20" t="str">
        <x:v>Required</x:v>
      </x:c>
      <x:c r="E20" s="20" t="str">
        <x:v>Baseline Level 1 requirement for the proposed module, subject to the cited NIST modification or replacement.</x:v>
      </x:c>
      <x:c r="F20" s="20" t="str">
        <x:v>ISO/IEC 19790:2012 §7.2</x:v>
      </x:c>
      <x:c r="G20" s="20" t="str">
        <x:v>ISO/IEC 24759:2017 §6.2, AS02.10</x:v>
      </x:c>
      <x:c r="H20" s="20" t="str">
        <x:v>VE02.10.01</x:v>
      </x:c>
      <x:c r="I20" s="20" t="str">
        <x:v>TE02.10.01, TE02.10.02</x:v>
      </x:c>
      <x:c r="J20" s="20" t="str">
        <x:v>SP 800-140 §6.2 / SP 800-140B</x:v>
      </x:c>
      <x:c r="K20" s="20" t="str">
        <x:v>Boundary, type, modes, algorithms, diagrams, and service indicator</x:v>
      </x:c>
      <x:c r="L20" s="20" t="str">
        <x:v>Architecture review</x:v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70" customHeight="1">
      <x:c r="A21" s="20" t="str">
        <x:v>AS02.11</x:v>
      </x:c>
      <x:c r="B21" s="20" t="str">
        <x:v>Module specification</x:v>
      </x:c>
      <x:c r="C21" s="20" t="str">
        <x:v>boundary</x:v>
      </x:c>
      <x:c r="D21" s="20" t="str">
        <x:v>Required</x:v>
      </x:c>
      <x:c r="E21" s="20" t="str">
        <x:v>Baseline Level 1 requirement for the proposed module, subject to the cited NIST modification or replacement.</x:v>
      </x:c>
      <x:c r="F21" s="20" t="str">
        <x:v>ISO/IEC 19790:2012 §7.2</x:v>
      </x:c>
      <x:c r="G21" s="20" t="str">
        <x:v>ISO/IEC 24759:2017 §6.2, AS02.11</x:v>
      </x:c>
      <x:c r="H21" s="20" t="str">
        <x:v>VE02.11.01</x:v>
      </x:c>
      <x:c r="I21" s="20" t="str">
        <x:v>TE02.11.01, TE02.11.02</x:v>
      </x:c>
      <x:c r="J21" s="20" t="str">
        <x:v>SP 800-140 §6.2 / SP 800-140B</x:v>
      </x:c>
      <x:c r="K21" s="20" t="str">
        <x:v>Boundary, type, modes, algorithms, diagrams, and service indicator</x:v>
      </x:c>
      <x:c r="L21" s="20" t="str">
        <x:v>Architecture review</x:v>
      </x:c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70" customHeight="1">
      <x:c r="A22" s="20" t="str">
        <x:v>AS02.12</x:v>
      </x:c>
      <x:c r="B22" s="20" t="str">
        <x:v>Module specification</x:v>
      </x:c>
      <x:c r="C22" s="20" t="str">
        <x:v>module specification</x:v>
      </x:c>
      <x:c r="D22" s="20" t="str">
        <x:v>Required</x:v>
      </x:c>
      <x:c r="E22" s="20" t="str">
        <x:v>Baseline Level 1 requirement for the proposed module, subject to the cited NIST modification or replacement.</x:v>
      </x:c>
      <x:c r="F22" s="20" t="str">
        <x:v>ISO/IEC 19790:2012 §7.2</x:v>
      </x:c>
      <x:c r="G22" s="20" t="str">
        <x:v>ISO/IEC 24759:2017 §6.2, AS02.12</x:v>
      </x:c>
      <x:c r="H22" s="20" t="str">
        <x:v>VE02.12.01</x:v>
      </x:c>
      <x:c r="I22" s="20" t="str">
        <x:v>TE02.12.01</x:v>
      </x:c>
      <x:c r="J22" s="20" t="str">
        <x:v>SP 800-140 §6.2 / SP 800-140B</x:v>
      </x:c>
      <x:c r="K22" s="20" t="str">
        <x:v>Boundary, type, modes, algorithms, diagrams, and service indicator</x:v>
      </x:c>
      <x:c r="L22" s="20" t="str">
        <x:v>Architecture review</x:v>
      </x:c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0" customHeight="1">
      <x:c r="A23" s="20" t="str">
        <x:v>AS02.13</x:v>
      </x:c>
      <x:c r="B23" s="20" t="str">
        <x:v>Module specification</x:v>
      </x:c>
      <x:c r="C23" s="20" t="str">
        <x:v>module specification</x:v>
      </x:c>
      <x:c r="D23" s="20" t="str">
        <x:v>Required</x:v>
      </x:c>
      <x:c r="E23" s="20" t="str">
        <x:v>Baseline Level 1 requirement for the proposed module, subject to the cited NIST modification or replacement.</x:v>
      </x:c>
      <x:c r="F23" s="20" t="str">
        <x:v>ISO/IEC 19790:2012 §7.2</x:v>
      </x:c>
      <x:c r="G23" s="20" t="str">
        <x:v>ISO/IEC 24759:2017 §6.2, AS02.13</x:v>
      </x:c>
      <x:c r="H23" s="20" t="str">
        <x:v>VE02.13.01, VE02.13.02</x:v>
      </x:c>
      <x:c r="I23" s="20" t="str">
        <x:v>TE02.13.01, TE02.13.02, TE02.13.03</x:v>
      </x:c>
      <x:c r="J23" s="20" t="str">
        <x:v>SP 800-140 §6.2 / SP 800-140B</x:v>
      </x:c>
      <x:c r="K23" s="20" t="str">
        <x:v>Boundary, type, modes, algorithms, diagrams, and service indicator</x:v>
      </x:c>
      <x:c r="L23" s="20" t="str">
        <x:v>Architecture review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70" customHeight="1">
      <x:c r="A24" s="20" t="str">
        <x:v>AS02.14</x:v>
      </x:c>
      <x:c r="B24" s="20" t="str">
        <x:v>Module specification</x:v>
      </x:c>
      <x:c r="C24" s="20" t="str">
        <x:v>module specification</x:v>
      </x:c>
      <x:c r="D24" s="20" t="str">
        <x:v>Required</x:v>
      </x:c>
      <x:c r="E24" s="20" t="str">
        <x:v>Baseline Level 1 requirement for the proposed module, subject to the cited NIST modification or replacement.</x:v>
      </x:c>
      <x:c r="F24" s="20" t="str">
        <x:v>ISO/IEC 19790:2012 §7.2</x:v>
      </x:c>
      <x:c r="G24" s="20" t="str">
        <x:v>ISO/IEC 24759:2017 §6.2, AS02.14</x:v>
      </x:c>
      <x:c r="H24" s="20" t="str">
        <x:v>VE02.14.01</x:v>
      </x:c>
      <x:c r="I24" s="20" t="str">
        <x:v>TE02.14.01</x:v>
      </x:c>
      <x:c r="J24" s="20" t="str">
        <x:v>SP 800-140 §6.2 / SP 800-140B</x:v>
      </x:c>
      <x:c r="K24" s="20" t="str">
        <x:v>Boundary, type, modes, algorithms, diagrams, and service indicator</x:v>
      </x:c>
      <x:c r="L24" s="20" t="str">
        <x:v>Architecture review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70" customHeight="1">
      <x:c r="A25" s="20" t="str">
        <x:v>AS02.15</x:v>
      </x:c>
      <x:c r="B25" s="20" t="str">
        <x:v>Module specification</x:v>
      </x:c>
      <x:c r="C25" s="20" t="str">
        <x:v>boundary; interfaces</x:v>
      </x:c>
      <x:c r="D25" s="20" t="str">
        <x:v>Required</x:v>
      </x:c>
      <x:c r="E25" s="20" t="str">
        <x:v>Baseline Level 1 requirement for the proposed module, subject to the cited NIST modification or replacement.</x:v>
      </x:c>
      <x:c r="F25" s="20" t="str">
        <x:v>ISO/IEC 19790:2012 §7.2</x:v>
      </x:c>
      <x:c r="G25" s="20" t="str">
        <x:v>ISO/IEC 24759:2017 §6.2, AS02.15</x:v>
      </x:c>
      <x:c r="H25" s="20" t="str">
        <x:v>VE02.15.01, VE02.15.02, VE02.15.03, VE02.15.04</x:v>
      </x:c>
      <x:c r="I25" s="20" t="str">
        <x:v>TE02.15.01, TE02.15.02, TE02.15.03, TE02.15.04, TE02.15.05, TE02.15.06, TE02.15.07, TE02.15.08, TE02.15.09</x:v>
      </x:c>
      <x:c r="J25" s="20" t="str">
        <x:v>SP 800-140 §6.2 / SP 800-140B</x:v>
      </x:c>
      <x:c r="K25" s="20" t="str">
        <x:v>Boundary, type, modes, algorithms, diagrams, and service indicator</x:v>
      </x:c>
      <x:c r="L25" s="20" t="str">
        <x:v>Architecture review</x:v>
      </x:c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70" customHeight="1">
      <x:c r="A26" s="20" t="str">
        <x:v>AS02.16</x:v>
      </x:c>
      <x:c r="B26" s="20" t="str">
        <x:v>Module specification</x:v>
      </x:c>
      <x:c r="C26" s="20" t="str">
        <x:v>boundary</x:v>
      </x:c>
      <x:c r="D26" s="20" t="str">
        <x:v>Required</x:v>
      </x:c>
      <x:c r="E26" s="20" t="str">
        <x:v>Baseline Level 1 requirement for the proposed module, subject to the cited NIST modification or replacement.</x:v>
      </x:c>
      <x:c r="F26" s="20" t="str">
        <x:v>ISO/IEC 19790:2012 §7.2</x:v>
      </x:c>
      <x:c r="G26" s="20" t="str">
        <x:v>ISO/IEC 24759:2017 §6.2, AS02.16</x:v>
      </x:c>
      <x:c r="H26" s="20" t="str">
        <x:v>VE02.16.01, VE02.16.02, VE02.16.03</x:v>
      </x:c>
      <x:c r="I26" s="20" t="str">
        <x:v>TE02.16.01, TE02.16.02, TE02.16.03, TE02.16.04, TE02.16.05</x:v>
      </x:c>
      <x:c r="J26" s="20" t="str">
        <x:v>SP 800-140 §6.2 / SP 800-140B</x:v>
      </x:c>
      <x:c r="K26" s="20" t="str">
        <x:v>Boundary, type, modes, algorithms, diagrams, and service indicator</x:v>
      </x:c>
      <x:c r="L26" s="20" t="str">
        <x:v>Architecture review</x:v>
      </x:c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70" customHeight="1">
      <x:c r="A27" s="20" t="str">
        <x:v>AS02.17</x:v>
      </x:c>
      <x:c r="B27" s="20" t="str">
        <x:v>Module specification</x:v>
      </x:c>
      <x:c r="C27" s="20" t="str">
        <x:v>boundary</x:v>
      </x:c>
      <x:c r="D27" s="20" t="str">
        <x:v>Required</x:v>
      </x:c>
      <x:c r="E27" s="20" t="str">
        <x:v>Baseline Level 1 requirement for the proposed module, subject to the cited NIST modification or replacement.</x:v>
      </x:c>
      <x:c r="F27" s="20" t="str">
        <x:v>ISO/IEC 19790:2012 §7.2</x:v>
      </x:c>
      <x:c r="G27" s="20" t="str">
        <x:v>ISO/IEC 24759:2017 §6.2, AS02.17</x:v>
      </x:c>
      <x:c r="H27" s="20" t="str">
        <x:v>VE02.17.01, VE02.17.02, VE02.17.03</x:v>
      </x:c>
      <x:c r="I27" s="20" t="str">
        <x:v>TE02.17.01, TE02.17.02, TE02.17.03, TE02.17.04, TE02.17.05</x:v>
      </x:c>
      <x:c r="J27" s="20" t="str">
        <x:v>SP 800-140 §6.2 / SP 800-140B</x:v>
      </x:c>
      <x:c r="K27" s="20" t="str">
        <x:v>Boundary, type, modes, algorithms, diagrams, and service indicator</x:v>
      </x:c>
      <x:c r="L27" s="20" t="str">
        <x:v>Architecture review</x:v>
      </x:c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70" customHeight="1">
      <x:c r="A28" s="20" t="str">
        <x:v>AS02.18</x:v>
      </x:c>
      <x:c r="B28" s="20" t="str">
        <x:v>Module specification</x:v>
      </x:c>
      <x:c r="C28" s="20" t="str">
        <x:v>boundary; interfaces</x:v>
      </x:c>
      <x:c r="D28" s="20" t="str">
        <x:v>Not applicable</x:v>
      </x:c>
      <x:c r="E28" s="20" t="str">
        <x:v>Embodiment-specific requirement does not apply to the proposed pure-software module.</x:v>
      </x:c>
      <x:c r="F28" s="20" t="str">
        <x:v>ISO/IEC 19790:2012 §7.2</x:v>
      </x:c>
      <x:c r="G28" s="20" t="str">
        <x:v>ISO/IEC 24759:2017 §6.2, AS02.18</x:v>
      </x:c>
      <x:c r="H28" s="20" t="str">
        <x:v>VE02.18.01</x:v>
      </x:c>
      <x:c r="I28" s="20" t="str">
        <x:v>TE02.18.01</x:v>
      </x:c>
      <x:c r="J28" s="20" t="str">
        <x:v>SP 800-140 §6.2 / SP 800-140B</x:v>
      </x:c>
      <x:c r="K28" s="20" t="str">
        <x:v>Boundary, type, modes, algorithms, diagrams, and service indicator</x:v>
      </x:c>
      <x:c r="L28" s="20" t="str">
        <x:v>Architecture review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70" customHeight="1">
      <x:c r="A29" s="20" t="str">
        <x:v>AS02.19</x:v>
      </x:c>
      <x:c r="B29" s="20" t="str">
        <x:v>Module specification</x:v>
      </x:c>
      <x:c r="C29" s="20" t="str">
        <x:v>modes</x:v>
      </x:c>
      <x:c r="D29" s="20" t="str">
        <x:v>Required</x:v>
      </x:c>
      <x:c r="E29" s="20" t="str">
        <x:v>Baseline Level 1 requirement for the proposed module, subject to the cited NIST modification or replacement.</x:v>
      </x:c>
      <x:c r="F29" s="20" t="str">
        <x:v>ISO/IEC 19790:2012 §7.2</x:v>
      </x:c>
      <x:c r="G29" s="20" t="str">
        <x:v>ISO/IEC 24759:2017 §6.2, AS02.19</x:v>
      </x:c>
      <x:c r="H29" s="20" t="str">
        <x:v>VE02.19.01, VE02.19.02</x:v>
      </x:c>
      <x:c r="I29" s="20" t="str">
        <x:v>TE02.19.01, TE02.19.02</x:v>
      </x:c>
      <x:c r="J29" s="20" t="str">
        <x:v>SP 800-140 §6.2 / SP 800-140B</x:v>
      </x:c>
      <x:c r="K29" s="20" t="str">
        <x:v>Boundary, type, modes, algorithms, diagrams, and service indicator</x:v>
      </x:c>
      <x:c r="L29" s="20" t="str">
        <x:v>Architecture review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70" customHeight="1">
      <x:c r="A30" s="20" t="str">
        <x:v>AS02.20</x:v>
      </x:c>
      <x:c r="B30" s="20" t="str">
        <x:v>Module specification</x:v>
      </x:c>
      <x:c r="C30" s="20" t="str">
        <x:v>approved functions; modes; services</x:v>
      </x:c>
      <x:c r="D30" s="20" t="str">
        <x:v>Required</x:v>
      </x:c>
      <x:c r="E30" s="20" t="str">
        <x:v>Baseline Level 1 requirement for the proposed module, subject to the cited NIST modification or replacement.</x:v>
      </x:c>
      <x:c r="F30" s="20" t="str">
        <x:v>ISO/IEC 19790:2012 §7.2</x:v>
      </x:c>
      <x:c r="G30" s="20" t="str">
        <x:v>ISO/IEC 24759:2017 §6.2, AS02.20</x:v>
      </x:c>
      <x:c r="H30" s="20" t="str">
        <x:v>VE02.20.01, VE02.20.02</x:v>
      </x:c>
      <x:c r="I30" s="20" t="str">
        <x:v>TE02.20.01, TE02.20.02</x:v>
      </x:c>
      <x:c r="J30" s="20" t="str">
        <x:v>SP 800-140 §6.2 / SP 800-140B</x:v>
      </x:c>
      <x:c r="K30" s="20" t="str">
        <x:v>Boundary, type, modes, algorithms, diagrams, and service indicator</x:v>
      </x:c>
      <x:c r="L30" s="20" t="str">
        <x:v>Architecture review</x:v>
      </x:c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70" customHeight="1">
      <x:c r="A31" s="20" t="str">
        <x:v>AS02.21</x:v>
      </x:c>
      <x:c r="B31" s="20" t="str">
        <x:v>Module specification</x:v>
      </x:c>
      <x:c r="C31" s="20" t="str">
        <x:v>approved functions; modes; services</x:v>
      </x:c>
      <x:c r="D31" s="20" t="str">
        <x:v>Required</x:v>
      </x:c>
      <x:c r="E31" s="20" t="str">
        <x:v>Baseline Level 1 requirement for the proposed module, subject to the cited NIST modification or replacement.</x:v>
      </x:c>
      <x:c r="F31" s="20" t="str">
        <x:v>ISO/IEC 19790:2012 §7.2</x:v>
      </x:c>
      <x:c r="G31" s="20" t="str">
        <x:v>ISO/IEC 24759:2017 §6.2, AS02.21</x:v>
      </x:c>
      <x:c r="H31" s="20" t="str">
        <x:v>VE02.21.01, VE02.21.02</x:v>
      </x:c>
      <x:c r="I31" s="20" t="str">
        <x:v>TE02.21.01, TE02.21.02</x:v>
      </x:c>
      <x:c r="J31" s="20" t="str">
        <x:v>SP 800-140 §6.2 / SP 800-140B</x:v>
      </x:c>
      <x:c r="K31" s="20" t="str">
        <x:v>Boundary, type, modes, algorithms, diagrams, and service indicator</x:v>
      </x:c>
      <x:c r="L31" s="20" t="str">
        <x:v>Architecture review</x:v>
      </x:c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70" customHeight="1">
      <x:c r="A32" s="20" t="str">
        <x:v>AS02.22</x:v>
      </x:c>
      <x:c r="B32" s="20" t="str">
        <x:v>Module specification</x:v>
      </x:c>
      <x:c r="C32" s="20" t="str">
        <x:v>approved functions; services</x:v>
      </x:c>
      <x:c r="D32" s="20" t="str">
        <x:v>Required</x:v>
      </x:c>
      <x:c r="E32" s="20" t="str">
        <x:v>Baseline Level 1 requirement for the proposed module, subject to the cited NIST modification or replacement.</x:v>
      </x:c>
      <x:c r="F32" s="20" t="str">
        <x:v>ISO/IEC 19790:2012 §7.2</x:v>
      </x:c>
      <x:c r="G32" s="20" t="str">
        <x:v>ISO/IEC 24759:2017 §6.2, AS02.22</x:v>
      </x:c>
      <x:c r="H32" s="20" t="str">
        <x:v>VE02.22.01, VE02.22.02</x:v>
      </x:c>
      <x:c r="I32" s="20" t="str">
        <x:v>TE02.22.01, TE02.22.02</x:v>
      </x:c>
      <x:c r="J32" s="20" t="str">
        <x:v>SP 800-140 §6.2 / SP 800-140B</x:v>
      </x:c>
      <x:c r="K32" s="20" t="str">
        <x:v>Boundary, type, modes, algorithms, diagrams, and service indicator</x:v>
      </x:c>
      <x:c r="L32" s="20" t="str">
        <x:v>Architecture review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70" customHeight="1">
      <x:c r="A33" s="20" t="str">
        <x:v>AS02.23</x:v>
      </x:c>
      <x:c r="B33" s="20" t="str">
        <x:v>Module specification</x:v>
      </x:c>
      <x:c r="C33" s="20" t="str">
        <x:v>approved functions; modes; services</x:v>
      </x:c>
      <x:c r="D33" s="20" t="str">
        <x:v>Required</x:v>
      </x:c>
      <x:c r="E33" s="20" t="str">
        <x:v>Baseline Level 1 requirement for the proposed module, subject to the cited NIST modification or replacement.</x:v>
      </x:c>
      <x:c r="F33" s="20" t="str">
        <x:v>ISO/IEC 19790:2012 §7.2</x:v>
      </x:c>
      <x:c r="G33" s="20" t="str">
        <x:v>ISO/IEC 24759:2017 §6.2, AS02.23</x:v>
      </x:c>
      <x:c r="H33" s="20" t="str">
        <x:v>—</x:v>
      </x:c>
      <x:c r="I33" s="20" t="str">
        <x:v>—</x:v>
      </x:c>
      <x:c r="J33" s="20" t="str">
        <x:v>SP 800-140 §6.2 / SP 800-140B</x:v>
      </x:c>
      <x:c r="K33" s="20" t="str">
        <x:v>Boundary, type, modes, algorithms, diagrams, and service indicator</x:v>
      </x:c>
      <x:c r="L33" s="20" t="str">
        <x:v>Architecture review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70" customHeight="1">
      <x:c r="A34" s="20" t="str">
        <x:v>AS02.24</x:v>
      </x:c>
      <x:c r="B34" s="20" t="str">
        <x:v>Module specification</x:v>
      </x:c>
      <x:c r="C34" s="20" t="str">
        <x:v>approved functions; services</x:v>
      </x:c>
      <x:c r="D34" s="20" t="str">
        <x:v>Required</x:v>
      </x:c>
      <x:c r="E34" s="20" t="str">
        <x:v>Baseline Level 1 requirement for the proposed module, subject to the cited NIST modification or replacement.</x:v>
      </x:c>
      <x:c r="F34" s="20" t="str">
        <x:v>ISO/IEC 19790:2012 §7.2</x:v>
      </x:c>
      <x:c r="G34" s="20" t="str">
        <x:v>ISO/IEC 24759:2017 §6.2, AS02.24</x:v>
      </x:c>
      <x:c r="H34" s="20" t="str">
        <x:v>VE02.24.01</x:v>
      </x:c>
      <x:c r="I34" s="20" t="str">
        <x:v>TE02.24.01, TE02.24.02</x:v>
      </x:c>
      <x:c r="J34" s="20" t="str">
        <x:v>SP 800-140 §6.2 / SP 800-140B</x:v>
      </x:c>
      <x:c r="K34" s="20" t="str">
        <x:v>Boundary, type, modes, algorithms, diagrams, and service indicator</x:v>
      </x:c>
      <x:c r="L34" s="20" t="str">
        <x:v>Architecture review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70" customHeight="1">
      <x:c r="A35" s="20" t="str">
        <x:v>AS02.25</x:v>
      </x:c>
      <x:c r="B35" s="20" t="str">
        <x:v>Module specification</x:v>
      </x:c>
      <x:c r="C35" s="20" t="str">
        <x:v>module specification</x:v>
      </x:c>
      <x:c r="D35" s="20" t="str">
        <x:v>Required</x:v>
      </x:c>
      <x:c r="E35" s="20" t="str">
        <x:v>Baseline Level 1 requirement for the proposed module, subject to the cited NIST modification or replacement.</x:v>
      </x:c>
      <x:c r="F35" s="20" t="str">
        <x:v>ISO/IEC 19790:2012 §7.2</x:v>
      </x:c>
      <x:c r="G35" s="20" t="str">
        <x:v>ISO/IEC 24759:2017 §6.2, AS02.25</x:v>
      </x:c>
      <x:c r="H35" s="20" t="str">
        <x:v>—</x:v>
      </x:c>
      <x:c r="I35" s="20" t="str">
        <x:v>—</x:v>
      </x:c>
      <x:c r="J35" s="20" t="str">
        <x:v>SP 800-140 §6.2 / SP 800-140B</x:v>
      </x:c>
      <x:c r="K35" s="20" t="str">
        <x:v>Boundary, type, modes, algorithms, diagrams, and service indicator</x:v>
      </x:c>
      <x:c r="L35" s="20" t="str">
        <x:v>Architecture review</x:v>
      </x:c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70" customHeight="1">
      <x:c r="A36" s="20" t="str">
        <x:v>AS02.26</x:v>
      </x:c>
      <x:c r="B36" s="20" t="str">
        <x:v>Module specification</x:v>
      </x:c>
      <x:c r="C36" s="20" t="str">
        <x:v>error state</x:v>
      </x:c>
      <x:c r="D36" s="20" t="str">
        <x:v>Required</x:v>
      </x:c>
      <x:c r="E36" s="20" t="str">
        <x:v>Baseline Level 1 requirement for the proposed module, subject to the cited NIST modification or replacement.</x:v>
      </x:c>
      <x:c r="F36" s="20" t="str">
        <x:v>ISO/IEC 19790:2012 §7.2</x:v>
      </x:c>
      <x:c r="G36" s="20" t="str">
        <x:v>ISO/IEC 24759:2017 §6.2, AS02.26</x:v>
      </x:c>
      <x:c r="H36" s="20" t="str">
        <x:v>VE02.26.01, VE02.26.02</x:v>
      </x:c>
      <x:c r="I36" s="20" t="str">
        <x:v>TE02.26.01, TE02.26.02, TE02.26.03, TE02.26.04, TE02.26.05</x:v>
      </x:c>
      <x:c r="J36" s="20" t="str">
        <x:v>SP 800-140 §6.2 / SP 800-140B</x:v>
      </x:c>
      <x:c r="K36" s="20" t="str">
        <x:v>Boundary, type, modes, algorithms, diagrams, and service indicator</x:v>
      </x:c>
      <x:c r="L36" s="20" t="str">
        <x:v>Architecture review</x:v>
      </x:c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70" customHeight="1">
      <x:c r="A37" s="20" t="str">
        <x:v>AS02.27</x:v>
      </x:c>
      <x:c r="B37" s="20" t="str">
        <x:v>Module specification</x:v>
      </x:c>
      <x:c r="C37" s="20" t="str">
        <x:v>status</x:v>
      </x:c>
      <x:c r="D37" s="20" t="str">
        <x:v>Required</x:v>
      </x:c>
      <x:c r="E37" s="20" t="str">
        <x:v>Baseline Level 1 requirement for the proposed module, subject to the cited NIST modification or replacement.</x:v>
      </x:c>
      <x:c r="F37" s="20" t="str">
        <x:v>ISO/IEC 19790:2012 §7.2</x:v>
      </x:c>
      <x:c r="G37" s="20" t="str">
        <x:v>ISO/IEC 24759:2017 §6.2, AS02.27</x:v>
      </x:c>
      <x:c r="H37" s="20" t="str">
        <x:v>—</x:v>
      </x:c>
      <x:c r="I37" s="20" t="str">
        <x:v>—</x:v>
      </x:c>
      <x:c r="J37" s="20" t="str">
        <x:v>SP 800-140 §6.2 / SP 800-140B</x:v>
      </x:c>
      <x:c r="K37" s="20" t="str">
        <x:v>Boundary, type, modes, algorithms, diagrams, and service indicator</x:v>
      </x:c>
      <x:c r="L37" s="20" t="str">
        <x:v>Architecture review</x:v>
      </x:c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70" customHeight="1">
      <x:c r="A38" s="20" t="str">
        <x:v>AS02.28</x:v>
      </x:c>
      <x:c r="B38" s="20" t="str">
        <x:v>Module specification</x:v>
      </x:c>
      <x:c r="C38" s="20" t="str">
        <x:v>module specification</x:v>
      </x:c>
      <x:c r="D38" s="20" t="str">
        <x:v>Required</x:v>
      </x:c>
      <x:c r="E38" s="20" t="str">
        <x:v>Baseline Level 1 requirement for the proposed module, subject to the cited NIST modification or replacement.</x:v>
      </x:c>
      <x:c r="F38" s="20" t="str">
        <x:v>ISO/IEC 19790:2012 §7.2</x:v>
      </x:c>
      <x:c r="G38" s="20" t="str">
        <x:v>ISO/IEC 24759:2017 §6.2, AS02.28</x:v>
      </x:c>
      <x:c r="H38" s="20" t="str">
        <x:v>VE02.28.01</x:v>
      </x:c>
      <x:c r="I38" s="20" t="str">
        <x:v>TE02.28.01, TE02.28.02</x:v>
      </x:c>
      <x:c r="J38" s="20" t="str">
        <x:v>SP 800-140 §6.2 / SP 800-140B</x:v>
      </x:c>
      <x:c r="K38" s="20" t="str">
        <x:v>Boundary, type, modes, algorithms, diagrams, and service indicator</x:v>
      </x:c>
      <x:c r="L38" s="20" t="str">
        <x:v>Architecture review</x:v>
      </x:c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70" customHeight="1">
      <x:c r="A39" s="20" t="str">
        <x:v>AS02.29</x:v>
      </x:c>
      <x:c r="B39" s="20" t="str">
        <x:v>Module specification</x:v>
      </x:c>
      <x:c r="C39" s="20" t="str">
        <x:v>self-tests</x:v>
      </x:c>
      <x:c r="D39" s="20" t="str">
        <x:v>Required</x:v>
      </x:c>
      <x:c r="E39" s="20" t="str">
        <x:v>Baseline Level 1 requirement for the proposed module, subject to the cited NIST modification or replacement.</x:v>
      </x:c>
      <x:c r="F39" s="20" t="str">
        <x:v>ISO/IEC 19790:2012 §7.2</x:v>
      </x:c>
      <x:c r="G39" s="20" t="str">
        <x:v>ISO/IEC 24759:2017 §6.2, AS02.29</x:v>
      </x:c>
      <x:c r="H39" s="20" t="str">
        <x:v>—</x:v>
      </x:c>
      <x:c r="I39" s="20" t="str">
        <x:v>—</x:v>
      </x:c>
      <x:c r="J39" s="20" t="str">
        <x:v>SP 800-140 §6.2 / SP 800-140B</x:v>
      </x:c>
      <x:c r="K39" s="20" t="str">
        <x:v>Boundary, type, modes, algorithms, diagrams, and service indicator</x:v>
      </x:c>
      <x:c r="L39" s="20" t="str">
        <x:v>Architecture review</x:v>
      </x:c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70" customHeight="1">
      <x:c r="A40" s="20" t="str">
        <x:v>AS02.30</x:v>
      </x:c>
      <x:c r="B40" s="20" t="str">
        <x:v>Module specification</x:v>
      </x:c>
      <x:c r="C40" s="20" t="str">
        <x:v>services</x:v>
      </x:c>
      <x:c r="D40" s="20" t="str">
        <x:v>Required</x:v>
      </x:c>
      <x:c r="E40" s="20" t="str">
        <x:v>Baseline Level 1 requirement for the proposed module, subject to the cited NIST modification or replacement.</x:v>
      </x:c>
      <x:c r="F40" s="20" t="str">
        <x:v>ISO/IEC 19790:2012 §7.2</x:v>
      </x:c>
      <x:c r="G40" s="20" t="str">
        <x:v>ISO/IEC 24759:2017 §6.2, AS02.30</x:v>
      </x:c>
      <x:c r="H40" s="20" t="str">
        <x:v>VE02.30.01</x:v>
      </x:c>
      <x:c r="I40" s="20" t="str">
        <x:v>TE02.30.01, TE02.30.02</x:v>
      </x:c>
      <x:c r="J40" s="20" t="str">
        <x:v>SP 800-140 §6.2 / SP 800-140B</x:v>
      </x:c>
      <x:c r="K40" s="20" t="str">
        <x:v>Boundary, type, modes, algorithms, diagrams, and service indicator</x:v>
      </x:c>
      <x:c r="L40" s="20" t="str">
        <x:v>Architecture review</x:v>
      </x:c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70" customHeight="1">
      <x:c r="A41" s="20" t="str">
        <x:v>AS02.31</x:v>
      </x:c>
      <x:c r="B41" s="20" t="str">
        <x:v>Module specification</x:v>
      </x:c>
      <x:c r="C41" s="20" t="str">
        <x:v>self-tests</x:v>
      </x:c>
      <x:c r="D41" s="20" t="str">
        <x:v>Required</x:v>
      </x:c>
      <x:c r="E41" s="20" t="str">
        <x:v>Baseline Level 1 requirement for the proposed module, subject to the cited NIST modification or replacement.</x:v>
      </x:c>
      <x:c r="F41" s="20" t="str">
        <x:v>ISO/IEC 19790:2012 §7.2</x:v>
      </x:c>
      <x:c r="G41" s="20" t="str">
        <x:v>ISO/IEC 24759:2017 §6.2, AS02.31</x:v>
      </x:c>
      <x:c r="H41" s="20" t="str">
        <x:v>—</x:v>
      </x:c>
      <x:c r="I41" s="20" t="str">
        <x:v>—</x:v>
      </x:c>
      <x:c r="J41" s="20" t="str">
        <x:v>SP 800-140 §6.2 / SP 800-140B</x:v>
      </x:c>
      <x:c r="K41" s="20" t="str">
        <x:v>Boundary, type, modes, algorithms, diagrams, and service indicator</x:v>
      </x:c>
      <x:c r="L41" s="20" t="str">
        <x:v>Architecture review</x:v>
      </x:c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70" customHeight="1">
      <x:c r="A42" s="20" t="str">
        <x:v>AS02.32</x:v>
      </x:c>
      <x:c r="B42" s="20" t="str">
        <x:v>Module specification</x:v>
      </x:c>
      <x:c r="C42" s="20" t="str">
        <x:v>interfaces; self-tests</x:v>
      </x:c>
      <x:c r="D42" s="20" t="str">
        <x:v>Required</x:v>
      </x:c>
      <x:c r="E42" s="20" t="str">
        <x:v>Baseline Level 1 requirement for the proposed module, subject to the cited NIST modification or replacement.</x:v>
      </x:c>
      <x:c r="F42" s="20" t="str">
        <x:v>ISO/IEC 19790:2012 §7.2</x:v>
      </x:c>
      <x:c r="G42" s="20" t="str">
        <x:v>ISO/IEC 24759:2017 §6.2, AS02.32</x:v>
      </x:c>
      <x:c r="H42" s="20" t="str">
        <x:v>—</x:v>
      </x:c>
      <x:c r="I42" s="20" t="str">
        <x:v>—</x:v>
      </x:c>
      <x:c r="J42" s="20" t="str">
        <x:v>SP 800-140 §6.2 / SP 800-140B</x:v>
      </x:c>
      <x:c r="K42" s="20" t="str">
        <x:v>Boundary, type, modes, algorithms, diagrams, and service indicator</x:v>
      </x:c>
      <x:c r="L42" s="20" t="str">
        <x:v>Architecture review</x:v>
      </x:c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70" customHeight="1">
      <x:c r="A43" s="20" t="str">
        <x:v>AS03.01</x:v>
      </x:c>
      <x:c r="B43" s="20" t="str">
        <x:v>Interfaces</x:v>
      </x:c>
      <x:c r="C43" s="20" t="str">
        <x:v>boundary; interfaces</x:v>
      </x:c>
      <x:c r="D43" s="20" t="str">
        <x:v>Required</x:v>
      </x:c>
      <x:c r="E43" s="20" t="str">
        <x:v>Baseline Level 1 requirement for the proposed module, subject to the cited NIST modification or replacement.</x:v>
      </x:c>
      <x:c r="F43" s="20" t="str">
        <x:v>ISO/IEC 19790:2012 §7.3</x:v>
      </x:c>
      <x:c r="G43" s="20" t="str">
        <x:v>ISO/IEC 24759:2017 §6.3, AS03.01</x:v>
      </x:c>
      <x:c r="H43" s="20" t="str">
        <x:v>VE03.01.01, VE03.01.02, VE03.01.03</x:v>
      </x:c>
      <x:c r="I43" s="20" t="str">
        <x:v>TE03.01.01, TE03.01.02, TE03.01.03, TE03.01.04</x:v>
      </x:c>
      <x:c r="J43" s="20" t="str">
        <x:v>SP 800-140 §6.3</x:v>
      </x:c>
      <x:c r="K43" s="20" t="str">
        <x:v>API/interface inventory, data-flow mapping, and output-inhibition tests</x:v>
      </x:c>
      <x:c r="L43" s="20" t="str">
        <x:v>Architecture review</x:v>
      </x:c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70" customHeight="1">
      <x:c r="A44" s="20" t="str">
        <x:v>AS03.02</x:v>
      </x:c>
      <x:c r="B44" s="20" t="str">
        <x:v>Interfaces</x:v>
      </x:c>
      <x:c r="C44" s="20" t="str">
        <x:v>interfaces</x:v>
      </x:c>
      <x:c r="D44" s="20" t="str">
        <x:v>Required</x:v>
      </x:c>
      <x:c r="E44" s="20" t="str">
        <x:v>Baseline Level 1 requirement for the proposed module, subject to the cited NIST modification or replacement.</x:v>
      </x:c>
      <x:c r="F44" s="20" t="str">
        <x:v>ISO/IEC 19790:2012 §7.3</x:v>
      </x:c>
      <x:c r="G44" s="20" t="str">
        <x:v>ISO/IEC 24759:2017 §6.3, AS03.02</x:v>
      </x:c>
      <x:c r="H44" s="20" t="str">
        <x:v>VE03.02.01, VE03.02.02</x:v>
      </x:c>
      <x:c r="I44" s="20" t="str">
        <x:v>TE03.02.01, TE03.02.02</x:v>
      </x:c>
      <x:c r="J44" s="20" t="str">
        <x:v>SP 800-140 §6.3</x:v>
      </x:c>
      <x:c r="K44" s="20" t="str">
        <x:v>API/interface inventory, data-flow mapping, and output-inhibition tests</x:v>
      </x:c>
      <x:c r="L44" s="20" t="str">
        <x:v>Architecture review</x:v>
      </x:c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70" customHeight="1">
      <x:c r="A45" s="20" t="str">
        <x:v>AS03.03</x:v>
      </x:c>
      <x:c r="B45" s="20" t="str">
        <x:v>Interfaces</x:v>
      </x:c>
      <x:c r="C45" s="20" t="str">
        <x:v>interfaces</x:v>
      </x:c>
      <x:c r="D45" s="20" t="str">
        <x:v>Required</x:v>
      </x:c>
      <x:c r="E45" s="20" t="str">
        <x:v>Baseline Level 1 requirement for the proposed module, subject to the cited NIST modification or replacement.</x:v>
      </x:c>
      <x:c r="F45" s="20" t="str">
        <x:v>ISO/IEC 19790:2012 §7.3</x:v>
      </x:c>
      <x:c r="G45" s="20" t="str">
        <x:v>ISO/IEC 24759:2017 §6.3, AS03.03</x:v>
      </x:c>
      <x:c r="H45" s="20" t="str">
        <x:v>VE03.03.01</x:v>
      </x:c>
      <x:c r="I45" s="20" t="str">
        <x:v>TE03.03.01</x:v>
      </x:c>
      <x:c r="J45" s="20" t="str">
        <x:v>SP 800-140 §6.3</x:v>
      </x:c>
      <x:c r="K45" s="20" t="str">
        <x:v>API/interface inventory, data-flow mapping, and output-inhibition tests</x:v>
      </x:c>
      <x:c r="L45" s="20" t="str">
        <x:v>Architecture review</x:v>
      </x:c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70" customHeight="1">
      <x:c r="A46" s="20" t="str">
        <x:v>AS03.04</x:v>
      </x:c>
      <x:c r="B46" s="20" t="str">
        <x:v>Interfaces</x:v>
      </x:c>
      <x:c r="C46" s="20" t="str">
        <x:v>interfaces; data output; status</x:v>
      </x:c>
      <x:c r="D46" s="20" t="str">
        <x:v>Required</x:v>
      </x:c>
      <x:c r="E46" s="20" t="str">
        <x:v>Baseline Level 1 requirement for the proposed module, subject to the cited NIST modification or replacement.</x:v>
      </x:c>
      <x:c r="F46" s="20" t="str">
        <x:v>ISO/IEC 19790:2012 §7.3</x:v>
      </x:c>
      <x:c r="G46" s="20" t="str">
        <x:v>ISO/IEC 24759:2017 §6.3, AS03.04</x:v>
      </x:c>
      <x:c r="H46" s="20" t="str">
        <x:v>VE03.04.01</x:v>
      </x:c>
      <x:c r="I46" s="20" t="str">
        <x:v>TE03.04.01</x:v>
      </x:c>
      <x:c r="J46" s="20" t="str">
        <x:v>SP 800-140 §6.3</x:v>
      </x:c>
      <x:c r="K46" s="20" t="str">
        <x:v>API/interface inventory, data-flow mapping, and output-inhibition tests</x:v>
      </x:c>
      <x:c r="L46" s="20" t="str">
        <x:v>Architecture review</x:v>
      </x:c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70" customHeight="1">
      <x:c r="A47" s="20" t="str">
        <x:v>AS03.05</x:v>
      </x:c>
      <x:c r="B47" s="20" t="str">
        <x:v>Interfaces</x:v>
      </x:c>
      <x:c r="C47" s="20" t="str">
        <x:v>interfaces; status</x:v>
      </x:c>
      <x:c r="D47" s="20" t="str">
        <x:v>Required</x:v>
      </x:c>
      <x:c r="E47" s="20" t="str">
        <x:v>Baseline Level 1 requirement for the proposed module, subject to the cited NIST modification or replacement.</x:v>
      </x:c>
      <x:c r="F47" s="20" t="str">
        <x:v>ISO/IEC 19790:2012 §7.3</x:v>
      </x:c>
      <x:c r="G47" s="20" t="str">
        <x:v>ISO/IEC 24759:2017 §6.3, AS03.05</x:v>
      </x:c>
      <x:c r="H47" s="20" t="str">
        <x:v>VE03.05.01, VE03.05.02</x:v>
      </x:c>
      <x:c r="I47" s="20" t="str">
        <x:v>TE03.05.01, TE03.05.02</x:v>
      </x:c>
      <x:c r="J47" s="20" t="str">
        <x:v>SP 800-140 §6.3</x:v>
      </x:c>
      <x:c r="K47" s="20" t="str">
        <x:v>API/interface inventory, data-flow mapping, and output-inhibition tests</x:v>
      </x:c>
      <x:c r="L47" s="20" t="str">
        <x:v>Architecture review</x:v>
      </x:c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70" customHeight="1">
      <x:c r="A48" s="20" t="str">
        <x:v>AS03.06</x:v>
      </x:c>
      <x:c r="B48" s="20" t="str">
        <x:v>Interfaces</x:v>
      </x:c>
      <x:c r="C48" s="20" t="str">
        <x:v>interfaces; data output; status</x:v>
      </x:c>
      <x:c r="D48" s="20" t="str">
        <x:v>Required</x:v>
      </x:c>
      <x:c r="E48" s="20" t="str">
        <x:v>Baseline Level 1 requirement for the proposed module, subject to the cited NIST modification or replacement.</x:v>
      </x:c>
      <x:c r="F48" s="20" t="str">
        <x:v>ISO/IEC 19790:2012 §7.3</x:v>
      </x:c>
      <x:c r="G48" s="20" t="str">
        <x:v>ISO/IEC 24759:2017 §6.3, AS03.06</x:v>
      </x:c>
      <x:c r="H48" s="20" t="str">
        <x:v>VE03.06.01, VE03.06.02</x:v>
      </x:c>
      <x:c r="I48" s="20" t="str">
        <x:v>TE03.06.01, TE03.06.02</x:v>
      </x:c>
      <x:c r="J48" s="20" t="str">
        <x:v>SP 800-140 §6.3</x:v>
      </x:c>
      <x:c r="K48" s="20" t="str">
        <x:v>API/interface inventory, data-flow mapping, and output-inhibition tests</x:v>
      </x:c>
      <x:c r="L48" s="20" t="str">
        <x:v>Architecture review</x:v>
      </x:c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70" customHeight="1">
      <x:c r="A49" s="20" t="str">
        <x:v>AS03.07</x:v>
      </x:c>
      <x:c r="B49" s="20" t="str">
        <x:v>Interfaces</x:v>
      </x:c>
      <x:c r="C49" s="20" t="str">
        <x:v>interfaces; data output; software loading</x:v>
      </x:c>
      <x:c r="D49" s="20" t="str">
        <x:v>Required</x:v>
      </x:c>
      <x:c r="E49" s="20" t="str">
        <x:v>Baseline Level 1 requirement for the proposed module, subject to the cited NIST modification or replacement.</x:v>
      </x:c>
      <x:c r="F49" s="20" t="str">
        <x:v>ISO/IEC 19790:2012 §7.3</x:v>
      </x:c>
      <x:c r="G49" s="20" t="str">
        <x:v>ISO/IEC 24759:2017 §6.3, AS03.07</x:v>
      </x:c>
      <x:c r="H49" s="20" t="str">
        <x:v>VE03.07.01, VE03.07.02</x:v>
      </x:c>
      <x:c r="I49" s="20" t="str">
        <x:v>TE03.07.01, TE03.07.02, TE03.07.03, TE03.07.04, TE03.07.05</x:v>
      </x:c>
      <x:c r="J49" s="20" t="str">
        <x:v>SP 800-140 §6.3</x:v>
      </x:c>
      <x:c r="K49" s="20" t="str">
        <x:v>API/interface inventory, data-flow mapping, and output-inhibition tests</x:v>
      </x:c>
      <x:c r="L49" s="20" t="str">
        <x:v>Architecture review</x:v>
      </x:c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 ht="70" customHeight="1">
      <x:c r="A50" s="20" t="str">
        <x:v>AS03.08</x:v>
      </x:c>
      <x:c r="B50" s="20" t="str">
        <x:v>Interfaces</x:v>
      </x:c>
      <x:c r="C50" s="20" t="str">
        <x:v>interfaces</x:v>
      </x:c>
      <x:c r="D50" s="20" t="str">
        <x:v>Required</x:v>
      </x:c>
      <x:c r="E50" s="20" t="str">
        <x:v>Baseline Level 1 requirement for the proposed module, subject to the cited NIST modification or replacement.</x:v>
      </x:c>
      <x:c r="F50" s="20" t="str">
        <x:v>ISO/IEC 19790:2012 §7.3</x:v>
      </x:c>
      <x:c r="G50" s="20" t="str">
        <x:v>ISO/IEC 24759:2017 §6.3, AS03.08</x:v>
      </x:c>
      <x:c r="H50" s="20" t="str">
        <x:v>VE03.08.01, VE03.08.02</x:v>
      </x:c>
      <x:c r="I50" s="20" t="str">
        <x:v>TE03.08.01, TE03.08.02</x:v>
      </x:c>
      <x:c r="J50" s="20" t="str">
        <x:v>SP 800-140 §6.3</x:v>
      </x:c>
      <x:c r="K50" s="20" t="str">
        <x:v>API/interface inventory, data-flow mapping, and output-inhibition tests</x:v>
      </x:c>
      <x:c r="L50" s="20" t="str">
        <x:v>Architecture review</x:v>
      </x:c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 ht="70" customHeight="1">
      <x:c r="A51" s="20" t="str">
        <x:v>AS03.09</x:v>
      </x:c>
      <x:c r="B51" s="20" t="str">
        <x:v>Interfaces</x:v>
      </x:c>
      <x:c r="C51" s="20" t="str">
        <x:v>interfaces</x:v>
      </x:c>
      <x:c r="D51" s="20" t="str">
        <x:v>Required</x:v>
      </x:c>
      <x:c r="E51" s="20" t="str">
        <x:v>Baseline Level 1 requirement for the proposed module, subject to the cited NIST modification or replacement.</x:v>
      </x:c>
      <x:c r="F51" s="20" t="str">
        <x:v>ISO/IEC 19790:2012 §7.3</x:v>
      </x:c>
      <x:c r="G51" s="20" t="str">
        <x:v>ISO/IEC 24759:2017 §6.3, AS03.09</x:v>
      </x:c>
      <x:c r="H51" s="20" t="str">
        <x:v>VE03.09.01</x:v>
      </x:c>
      <x:c r="I51" s="20" t="str">
        <x:v>TE03.09.01, TE03.09.02</x:v>
      </x:c>
      <x:c r="J51" s="20" t="str">
        <x:v>SP 800-140 §6.3</x:v>
      </x:c>
      <x:c r="K51" s="20" t="str">
        <x:v>API/interface inventory, data-flow mapping, and output-inhibition tests</x:v>
      </x:c>
      <x:c r="L51" s="20" t="str">
        <x:v>Architecture review</x:v>
      </x:c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 ht="70" customHeight="1">
      <x:c r="A52" s="20" t="str">
        <x:v>AS03.10</x:v>
      </x:c>
      <x:c r="B52" s="20" t="str">
        <x:v>Interfaces</x:v>
      </x:c>
      <x:c r="C52" s="20" t="str">
        <x:v>interfaces; error state</x:v>
      </x:c>
      <x:c r="D52" s="20" t="str">
        <x:v>Required</x:v>
      </x:c>
      <x:c r="E52" s="20" t="str">
        <x:v>Baseline Level 1 requirement for the proposed module, subject to the cited NIST modification or replacement.</x:v>
      </x:c>
      <x:c r="F52" s="20" t="str">
        <x:v>ISO/IEC 19790:2012 §7.3</x:v>
      </x:c>
      <x:c r="G52" s="20" t="str">
        <x:v>ISO/IEC 24759:2017 §6.3, AS03.10</x:v>
      </x:c>
      <x:c r="H52" s="20" t="str">
        <x:v>VE03.10.01, VE03.10.02</x:v>
      </x:c>
      <x:c r="I52" s="20" t="str">
        <x:v>TE03.10.01, TE03.10.02, TE03.10.03, TE03.10.04, TE03.10.05</x:v>
      </x:c>
      <x:c r="J52" s="20" t="str">
        <x:v>SP 800-140 §6.3</x:v>
      </x:c>
      <x:c r="K52" s="20" t="str">
        <x:v>API/interface inventory, data-flow mapping, and output-inhibition tests</x:v>
      </x:c>
      <x:c r="L52" s="20" t="str">
        <x:v>Architecture review</x:v>
      </x:c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 ht="70" customHeight="1">
      <x:c r="A53" s="20" t="str">
        <x:v>AS03.11</x:v>
      </x:c>
      <x:c r="B53" s="20" t="str">
        <x:v>Interfaces</x:v>
      </x:c>
      <x:c r="C53" s="20" t="str">
        <x:v>interfaces; status</x:v>
      </x:c>
      <x:c r="D53" s="20" t="str">
        <x:v>Required</x:v>
      </x:c>
      <x:c r="E53" s="20" t="str">
        <x:v>Baseline Level 1 requirement for the proposed module, subject to the cited NIST modification or replacement.</x:v>
      </x:c>
      <x:c r="F53" s="20" t="str">
        <x:v>ISO/IEC 19790:2012 §7.3</x:v>
      </x:c>
      <x:c r="G53" s="20" t="str">
        <x:v>ISO/IEC 24759:2017 §6.3, AS03.11</x:v>
      </x:c>
      <x:c r="H53" s="20" t="str">
        <x:v>VE03.11.01, VE03.11.02</x:v>
      </x:c>
      <x:c r="I53" s="20" t="str">
        <x:v>TE03.11.01, TE03.11.02, TE03.11.03</x:v>
      </x:c>
      <x:c r="J53" s="20" t="str">
        <x:v>SP 800-140 §6.3</x:v>
      </x:c>
      <x:c r="K53" s="20" t="str">
        <x:v>API/interface inventory, data-flow mapping, and output-inhibition tests</x:v>
      </x:c>
      <x:c r="L53" s="20" t="str">
        <x:v>Architecture review</x:v>
      </x:c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 ht="70" customHeight="1">
      <x:c r="A54" s="20" t="str">
        <x:v>AS03.12</x:v>
      </x:c>
      <x:c r="B54" s="20" t="str">
        <x:v>Interfaces</x:v>
      </x:c>
      <x:c r="C54" s="20" t="str">
        <x:v>interfaces</x:v>
      </x:c>
      <x:c r="D54" s="20" t="str">
        <x:v>Required</x:v>
      </x:c>
      <x:c r="E54" s="20" t="str">
        <x:v>Baseline Level 1 requirement for the proposed module, subject to the cited NIST modification or replacement.</x:v>
      </x:c>
      <x:c r="F54" s="20" t="str">
        <x:v>ISO/IEC 19790:2012 §7.3</x:v>
      </x:c>
      <x:c r="G54" s="20" t="str">
        <x:v>ISO/IEC 24759:2017 §6.3, AS03.12</x:v>
      </x:c>
      <x:c r="H54" s="20" t="str">
        <x:v>—</x:v>
      </x:c>
      <x:c r="I54" s="20" t="str">
        <x:v>—</x:v>
      </x:c>
      <x:c r="J54" s="20" t="str">
        <x:v>SP 800-140 §6.3</x:v>
      </x:c>
      <x:c r="K54" s="20" t="str">
        <x:v>API/interface inventory, data-flow mapping, and output-inhibition tests</x:v>
      </x:c>
      <x:c r="L54" s="20" t="str">
        <x:v>Architecture review</x:v>
      </x:c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 ht="70" customHeight="1">
      <x:c r="A55" s="20" t="str">
        <x:v>AS03.13</x:v>
      </x:c>
      <x:c r="B55" s="20" t="str">
        <x:v>Interfaces</x:v>
      </x:c>
      <x:c r="C55" s="20" t="str">
        <x:v>interfaces</x:v>
      </x:c>
      <x:c r="D55" s="20" t="str">
        <x:v>Required</x:v>
      </x:c>
      <x:c r="E55" s="20" t="str">
        <x:v>Baseline Level 1 requirement for the proposed module, subject to the cited NIST modification or replacement.</x:v>
      </x:c>
      <x:c r="F55" s="20" t="str">
        <x:v>ISO/IEC 19790:2012 §7.3</x:v>
      </x:c>
      <x:c r="G55" s="20" t="str">
        <x:v>ISO/IEC 24759:2017 §6.3, AS03.13</x:v>
      </x:c>
      <x:c r="H55" s="20" t="str">
        <x:v>VE03.13.01, VE03.13.02</x:v>
      </x:c>
      <x:c r="I55" s="20" t="str">
        <x:v>TE03.13.01, TE03.13.02</x:v>
      </x:c>
      <x:c r="J55" s="20" t="str">
        <x:v>SP 800-140 §6.3</x:v>
      </x:c>
      <x:c r="K55" s="20" t="str">
        <x:v>API/interface inventory, data-flow mapping, and output-inhibition tests</x:v>
      </x:c>
      <x:c r="L55" s="20" t="str">
        <x:v>Architecture review</x:v>
      </x:c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 ht="70" customHeight="1">
      <x:c r="A56" s="20" t="str">
        <x:v>AS03.14</x:v>
      </x:c>
      <x:c r="B56" s="20" t="str">
        <x:v>Interfaces</x:v>
      </x:c>
      <x:c r="C56" s="20" t="str">
        <x:v>status</x:v>
      </x:c>
      <x:c r="D56" s="20" t="str">
        <x:v>Required</x:v>
      </x:c>
      <x:c r="E56" s="20" t="str">
        <x:v>Baseline Level 1 requirement for the proposed module, subject to the cited NIST modification or replacement.</x:v>
      </x:c>
      <x:c r="F56" s="20" t="str">
        <x:v>ISO/IEC 19790:2012 §7.3</x:v>
      </x:c>
      <x:c r="G56" s="20" t="str">
        <x:v>ISO/IEC 24759:2017 §6.3, AS03.14</x:v>
      </x:c>
      <x:c r="H56" s="20" t="str">
        <x:v>VE03.14.01, VE03.14.02, VE03.14.03</x:v>
      </x:c>
      <x:c r="I56" s="20" t="str">
        <x:v>TE03.14.01, TE03.14.02, TE03.14.03</x:v>
      </x:c>
      <x:c r="J56" s="20" t="str">
        <x:v>SP 800-140 §6.3</x:v>
      </x:c>
      <x:c r="K56" s="20" t="str">
        <x:v>API/interface inventory, data-flow mapping, and output-inhibition tests</x:v>
      </x:c>
      <x:c r="L56" s="20" t="str">
        <x:v>Architecture review</x:v>
      </x:c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 ht="70" customHeight="1">
      <x:c r="A57" s="20" t="str">
        <x:v>AS03.15</x:v>
      </x:c>
      <x:c r="B57" s="20" t="str">
        <x:v>Interfaces</x:v>
      </x:c>
      <x:c r="C57" s="20" t="str">
        <x:v>interfaces</x:v>
      </x:c>
      <x:c r="D57" s="20" t="str">
        <x:v>Required</x:v>
      </x:c>
      <x:c r="E57" s="20" t="str">
        <x:v>Baseline Level 1 requirement for the proposed module, subject to the cited NIST modification or replacement.</x:v>
      </x:c>
      <x:c r="F57" s="20" t="str">
        <x:v>ISO/IEC 19790:2012 §7.3</x:v>
      </x:c>
      <x:c r="G57" s="20" t="str">
        <x:v>ISO/IEC 24759:2017 §6.3, AS03.15</x:v>
      </x:c>
      <x:c r="H57" s="20" t="str">
        <x:v>VE03.15.01, VE03.15.02, VE03.15.03, VE03.15.04</x:v>
      </x:c>
      <x:c r="I57" s="20" t="str">
        <x:v>TE03.15.01, TE03.15.02, TE03.15.03, TE03.15.04, TE03.15.05, TE03.15.06</x:v>
      </x:c>
      <x:c r="J57" s="20" t="str">
        <x:v>SP 800-140 §6.3</x:v>
      </x:c>
      <x:c r="K57" s="20" t="str">
        <x:v>API/interface inventory, data-flow mapping, and output-inhibition tests</x:v>
      </x:c>
      <x:c r="L57" s="20" t="str">
        <x:v>Architecture review</x:v>
      </x:c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 ht="70" customHeight="1">
      <x:c r="A58" s="20" t="str">
        <x:v>AS04.01</x:v>
      </x:c>
      <x:c r="B58" s="20" t="str">
        <x:v>Roles, services, authentication</x:v>
      </x:c>
      <x:c r="C58" s="20" t="str">
        <x:v>roles; services</x:v>
      </x:c>
      <x:c r="D58" s="20" t="str">
        <x:v>Required</x:v>
      </x:c>
      <x:c r="E58" s="20" t="str">
        <x:v>Baseline Level 1 requirement for the proposed module, subject to the cited NIST modification or replacement.</x:v>
      </x:c>
      <x:c r="F58" s="20" t="str">
        <x:v>ISO/IEC 19790:2012 §7.4</x:v>
      </x:c>
      <x:c r="G58" s="20" t="str">
        <x:v>ISO/IEC 24759:2017 §6.4, AS04.01</x:v>
      </x:c>
      <x:c r="H58" s="20" t="str">
        <x:v>—</x:v>
      </x:c>
      <x:c r="I58" s="20" t="str">
        <x:v>—</x:v>
      </x:c>
      <x:c r="J58" s="20" t="str">
        <x:v>SP 800-140 §6.4 / SP 800-140E</x:v>
      </x:c>
      <x:c r="K58" s="20" t="str">
        <x:v>Roles/services/SSP-access matrix and conditional authentication evidence</x:v>
      </x:c>
      <x:c r="L58" s="20" t="str">
        <x:v>Architecture review</x:v>
      </x:c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 ht="70" customHeight="1">
      <x:c r="A59" s="20" t="str">
        <x:v>AS04.02</x:v>
      </x:c>
      <x:c r="B59" s="20" t="str">
        <x:v>Roles, services, authentication</x:v>
      </x:c>
      <x:c r="C59" s="20" t="str">
        <x:v>roles; services</x:v>
      </x:c>
      <x:c r="D59" s="20" t="str">
        <x:v>Conditional</x:v>
      </x:c>
      <x:c r="E59" s="20" t="str">
        <x:v>Applies only if the final module permits concurrent operators.</x:v>
      </x:c>
      <x:c r="F59" s="20" t="str">
        <x:v>ISO/IEC 19790:2012 §7.4</x:v>
      </x:c>
      <x:c r="G59" s="20" t="str">
        <x:v>ISO/IEC 24759:2017 §6.4, AS04.02</x:v>
      </x:c>
      <x:c r="H59" s="20" t="str">
        <x:v>VE04.02.01</x:v>
      </x:c>
      <x:c r="I59" s="20" t="str">
        <x:v>TE04.02.01, TE04.02.02, TE04.02.03</x:v>
      </x:c>
      <x:c r="J59" s="20" t="str">
        <x:v>SP 800-140 §6.4 / SP 800-140E</x:v>
      </x:c>
      <x:c r="K59" s="20" t="str">
        <x:v>Roles/services/SSP-access matrix and conditional authentication evidence</x:v>
      </x:c>
      <x:c r="L59" s="20" t="str">
        <x:v>Architecture review</x:v>
      </x:c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 ht="70" customHeight="1">
      <x:c r="A60" s="20" t="str">
        <x:v>AS04.03</x:v>
      </x:c>
      <x:c r="B60" s="20" t="str">
        <x:v>Roles, services, authentication</x:v>
      </x:c>
      <x:c r="C60" s="20" t="str">
        <x:v>roles, services, authentication</x:v>
      </x:c>
      <x:c r="D60" s="20" t="str">
        <x:v>Required</x:v>
      </x:c>
      <x:c r="E60" s="20" t="str">
        <x:v>Baseline Level 1 requirement for the proposed module, subject to the cited NIST modification or replacement.</x:v>
      </x:c>
      <x:c r="F60" s="20" t="str">
        <x:v>ISO/IEC 19790:2012 §7.4</x:v>
      </x:c>
      <x:c r="G60" s="20" t="str">
        <x:v>ISO/IEC 24759:2017 §6.4, AS04.03</x:v>
      </x:c>
      <x:c r="H60" s="20" t="str">
        <x:v>VE04.03.01</x:v>
      </x:c>
      <x:c r="I60" s="20" t="str">
        <x:v>TE04.03.01</x:v>
      </x:c>
      <x:c r="J60" s="20" t="str">
        <x:v>SP 800-140 §6.4 / SP 800-140E</x:v>
      </x:c>
      <x:c r="K60" s="20" t="str">
        <x:v>Roles/services/SSP-access matrix and conditional authentication evidence</x:v>
      </x:c>
      <x:c r="L60" s="20" t="str">
        <x:v>Architecture review</x:v>
      </x:c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 ht="70" customHeight="1">
      <x:c r="A61" s="20" t="str">
        <x:v>AS04.04</x:v>
      </x:c>
      <x:c r="B61" s="20" t="str">
        <x:v>Roles, services, authentication</x:v>
      </x:c>
      <x:c r="C61" s="20" t="str">
        <x:v>roles</x:v>
      </x:c>
      <x:c r="D61" s="20" t="str">
        <x:v>Required</x:v>
      </x:c>
      <x:c r="E61" s="20" t="str">
        <x:v>Baseline Level 1 requirement for the proposed module, subject to the cited NIST modification or replacement.</x:v>
      </x:c>
      <x:c r="F61" s="20" t="str">
        <x:v>ISO/IEC 19790:2012 §7.4</x:v>
      </x:c>
      <x:c r="G61" s="20" t="str">
        <x:v>ISO/IEC 24759:2017 §6.4, AS04.04</x:v>
      </x:c>
      <x:c r="H61" s="20" t="str">
        <x:v>—</x:v>
      </x:c>
      <x:c r="I61" s="20" t="str">
        <x:v>—</x:v>
      </x:c>
      <x:c r="J61" s="20" t="str">
        <x:v>SP 800-140 §6.4 / SP 800-140E</x:v>
      </x:c>
      <x:c r="K61" s="20" t="str">
        <x:v>Roles/services/SSP-access matrix and conditional authentication evidence</x:v>
      </x:c>
      <x:c r="L61" s="20" t="str">
        <x:v>Architecture review</x:v>
      </x:c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 ht="70" customHeight="1">
      <x:c r="A62" s="20" t="str">
        <x:v>AS04.05</x:v>
      </x:c>
      <x:c r="B62" s="20" t="str">
        <x:v>Roles, services, authentication</x:v>
      </x:c>
      <x:c r="C62" s="20" t="str">
        <x:v>roles; services</x:v>
      </x:c>
      <x:c r="D62" s="20" t="str">
        <x:v>Required</x:v>
      </x:c>
      <x:c r="E62" s="20" t="str">
        <x:v>Baseline Level 1 requirement for the proposed module, subject to the cited NIST modification or replacement.</x:v>
      </x:c>
      <x:c r="F62" s="20" t="str">
        <x:v>ISO/IEC 19790:2012 §7.4</x:v>
      </x:c>
      <x:c r="G62" s="20" t="str">
        <x:v>ISO/IEC 24759:2017 §6.4, AS04.05</x:v>
      </x:c>
      <x:c r="H62" s="20" t="str">
        <x:v>VE04.05.01</x:v>
      </x:c>
      <x:c r="I62" s="20" t="str">
        <x:v>TE04.05.01</x:v>
      </x:c>
      <x:c r="J62" s="20" t="str">
        <x:v>SP 800-140 §6.4 / SP 800-140E</x:v>
      </x:c>
      <x:c r="K62" s="20" t="str">
        <x:v>Roles/services/SSP-access matrix and conditional authentication evidence</x:v>
      </x:c>
      <x:c r="L62" s="20" t="str">
        <x:v>Architecture review</x:v>
      </x:c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 ht="70" customHeight="1">
      <x:c r="A63" s="20" t="str">
        <x:v>AS04.06</x:v>
      </x:c>
      <x:c r="B63" s="20" t="str">
        <x:v>Roles, services, authentication</x:v>
      </x:c>
      <x:c r="C63" s="20" t="str">
        <x:v>approved functions; roles; services</x:v>
      </x:c>
      <x:c r="D63" s="20" t="str">
        <x:v>Conditional</x:v>
      </x:c>
      <x:c r="E63" s="20" t="str">
        <x:v>Applies if the final role model includes the User role.</x:v>
      </x:c>
      <x:c r="F63" s="20" t="str">
        <x:v>ISO/IEC 19790:2012 §7.4</x:v>
      </x:c>
      <x:c r="G63" s="20" t="str">
        <x:v>ISO/IEC 24759:2017 §6.4, AS04.06</x:v>
      </x:c>
      <x:c r="H63" s="20" t="str">
        <x:v>VE04.06.01</x:v>
      </x:c>
      <x:c r="I63" s="20" t="str">
        <x:v>TE04.06.01</x:v>
      </x:c>
      <x:c r="J63" s="20" t="str">
        <x:v>SP 800-140 §6.4 / SP 800-140E</x:v>
      </x:c>
      <x:c r="K63" s="20" t="str">
        <x:v>Roles/services/SSP-access matrix and conditional authentication evidence</x:v>
      </x:c>
      <x:c r="L63" s="20" t="str">
        <x:v>Architecture review</x:v>
      </x:c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 ht="70" customHeight="1">
      <x:c r="A64" s="20" t="str">
        <x:v>AS04.07</x:v>
      </x:c>
      <x:c r="B64" s="20" t="str">
        <x:v>Roles, services, authentication</x:v>
      </x:c>
      <x:c r="C64" s="20" t="str">
        <x:v>roles; zeroisation</x:v>
      </x:c>
      <x:c r="D64" s="20" t="str">
        <x:v>Conditional</x:v>
      </x:c>
      <x:c r="E64" s="20" t="str">
        <x:v>Applies only if the named optional mode, role, interface, or loading mechanism is present.</x:v>
      </x:c>
      <x:c r="F64" s="20" t="str">
        <x:v>ISO/IEC 19790:2012 §7.4</x:v>
      </x:c>
      <x:c r="G64" s="20" t="str">
        <x:v>ISO/IEC 24759:2017 §6.4, AS04.07</x:v>
      </x:c>
      <x:c r="H64" s="20" t="str">
        <x:v>VE04.07.01, VE04.07.02</x:v>
      </x:c>
      <x:c r="I64" s="20" t="str">
        <x:v>TE04.07.01, TE04.07.02, TE04.07.03</x:v>
      </x:c>
      <x:c r="J64" s="20" t="str">
        <x:v>SP 800-140 §6.4 / SP 800-140E</x:v>
      </x:c>
      <x:c r="K64" s="20" t="str">
        <x:v>Roles/services/SSP-access matrix and conditional authentication evidence</x:v>
      </x:c>
      <x:c r="L64" s="20" t="str">
        <x:v>Architecture review</x:v>
      </x:c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 ht="70" customHeight="1">
      <x:c r="A65" s="20" t="str">
        <x:v>AS04.08</x:v>
      </x:c>
      <x:c r="B65" s="20" t="str">
        <x:v>Roles, services, authentication</x:v>
      </x:c>
      <x:c r="C65" s="20" t="str">
        <x:v>services</x:v>
      </x:c>
      <x:c r="D65" s="20" t="str">
        <x:v>Required</x:v>
      </x:c>
      <x:c r="E65" s="20" t="str">
        <x:v>Baseline Level 1 requirement for the proposed module, subject to the cited NIST modification or replacement.</x:v>
      </x:c>
      <x:c r="F65" s="20" t="str">
        <x:v>ISO/IEC 19790:2012 §7.4</x:v>
      </x:c>
      <x:c r="G65" s="20" t="str">
        <x:v>ISO/IEC 24759:2017 §6.4, AS04.08</x:v>
      </x:c>
      <x:c r="H65" s="20" t="str">
        <x:v>—</x:v>
      </x:c>
      <x:c r="I65" s="20" t="str">
        <x:v>—</x:v>
      </x:c>
      <x:c r="J65" s="20" t="str">
        <x:v>SP 800-140 §6.4 / SP 800-140E</x:v>
      </x:c>
      <x:c r="K65" s="20" t="str">
        <x:v>Roles/services/SSP-access matrix and conditional authentication evidence</x:v>
      </x:c>
      <x:c r="L65" s="20" t="str">
        <x:v>Architecture review</x:v>
      </x:c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 ht="70" customHeight="1">
      <x:c r="A66" s="20" t="str">
        <x:v>AS04.09</x:v>
      </x:c>
      <x:c r="B66" s="20" t="str">
        <x:v>Roles, services, authentication</x:v>
      </x:c>
      <x:c r="C66" s="20" t="str">
        <x:v>services</x:v>
      </x:c>
      <x:c r="D66" s="20" t="str">
        <x:v>Required</x:v>
      </x:c>
      <x:c r="E66" s="20" t="str">
        <x:v>Baseline Level 1 requirement for the proposed module, subject to the cited NIST modification or replacement.</x:v>
      </x:c>
      <x:c r="F66" s="20" t="str">
        <x:v>ISO/IEC 19790:2012 §7.4</x:v>
      </x:c>
      <x:c r="G66" s="20" t="str">
        <x:v>ISO/IEC 24759:2017 §6.4, AS04.09</x:v>
      </x:c>
      <x:c r="H66" s="20" t="str">
        <x:v>—</x:v>
      </x:c>
      <x:c r="I66" s="20" t="str">
        <x:v>—</x:v>
      </x:c>
      <x:c r="J66" s="20" t="str">
        <x:v>SP 800-140 §6.4 / SP 800-140E</x:v>
      </x:c>
      <x:c r="K66" s="20" t="str">
        <x:v>Roles/services/SSP-access matrix and conditional authentication evidence</x:v>
      </x:c>
      <x:c r="L66" s="20" t="str">
        <x:v>Architecture review</x:v>
      </x:c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 ht="70" customHeight="1">
      <x:c r="A67" s="20" t="str">
        <x:v>AS04.10</x:v>
      </x:c>
      <x:c r="B67" s="20" t="str">
        <x:v>Roles, services, authentication</x:v>
      </x:c>
      <x:c r="C67" s="20" t="str">
        <x:v>data output; status; services</x:v>
      </x:c>
      <x:c r="D67" s="20" t="str">
        <x:v>Required</x:v>
      </x:c>
      <x:c r="E67" s="20" t="str">
        <x:v>Baseline Level 1 requirement for the proposed module, subject to the cited NIST modification or replacement.</x:v>
      </x:c>
      <x:c r="F67" s="20" t="str">
        <x:v>ISO/IEC 19790:2012 §7.4</x:v>
      </x:c>
      <x:c r="G67" s="20" t="str">
        <x:v>ISO/IEC 24759:2017 §6.4, AS04.10</x:v>
      </x:c>
      <x:c r="H67" s="20" t="str">
        <x:v>—</x:v>
      </x:c>
      <x:c r="I67" s="20" t="str">
        <x:v>—</x:v>
      </x:c>
      <x:c r="J67" s="20" t="str">
        <x:v>SP 800-140 §6.4 / SP 800-140E</x:v>
      </x:c>
      <x:c r="K67" s="20" t="str">
        <x:v>Roles/services/SSP-access matrix and conditional authentication evidence</x:v>
      </x:c>
      <x:c r="L67" s="20" t="str">
        <x:v>Architecture review</x:v>
      </x:c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 ht="70" customHeight="1">
      <x:c r="A68" s="20" t="str">
        <x:v>AS04.11</x:v>
      </x:c>
      <x:c r="B68" s="20" t="str">
        <x:v>Roles, services, authentication</x:v>
      </x:c>
      <x:c r="C68" s="20" t="str">
        <x:v>services</x:v>
      </x:c>
      <x:c r="D68" s="20" t="str">
        <x:v>Required</x:v>
      </x:c>
      <x:c r="E68" s="20" t="str">
        <x:v>Baseline Level 1 requirement for the proposed module, subject to the cited NIST modification or replacement.</x:v>
      </x:c>
      <x:c r="F68" s="20" t="str">
        <x:v>ISO/IEC 19790:2012 §7.4</x:v>
      </x:c>
      <x:c r="G68" s="20" t="str">
        <x:v>ISO/IEC 24759:2017 §6.4, AS04.11</x:v>
      </x:c>
      <x:c r="H68" s="20" t="str">
        <x:v>VE04.11.01</x:v>
      </x:c>
      <x:c r="I68" s="20" t="str">
        <x:v>TE04.11.01, TE04.11.02</x:v>
      </x:c>
      <x:c r="J68" s="20" t="str">
        <x:v>SP 800-140 §6.4 / SP 800-140E</x:v>
      </x:c>
      <x:c r="K68" s="20" t="str">
        <x:v>Roles/services/SSP-access matrix and conditional authentication evidence</x:v>
      </x:c>
      <x:c r="L68" s="20" t="str">
        <x:v>Architecture review</x:v>
      </x:c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 ht="70" customHeight="1">
      <x:c r="A69" s="20" t="str">
        <x:v>AS04.12</x:v>
      </x:c>
      <x:c r="B69" s="20" t="str">
        <x:v>Roles, services, authentication</x:v>
      </x:c>
      <x:c r="C69" s="20" t="str">
        <x:v>services</x:v>
      </x:c>
      <x:c r="D69" s="20" t="str">
        <x:v>Required</x:v>
      </x:c>
      <x:c r="E69" s="20" t="str">
        <x:v>Baseline Level 1 requirement for the proposed module, subject to the cited NIST modification or replacement.</x:v>
      </x:c>
      <x:c r="F69" s="20" t="str">
        <x:v>ISO/IEC 19790:2012 §7.4</x:v>
      </x:c>
      <x:c r="G69" s="20" t="str">
        <x:v>ISO/IEC 24759:2017 §6.4, AS04.12</x:v>
      </x:c>
      <x:c r="H69" s="20" t="str">
        <x:v>—</x:v>
      </x:c>
      <x:c r="I69" s="20" t="str">
        <x:v>—</x:v>
      </x:c>
      <x:c r="J69" s="20" t="str">
        <x:v>SP 800-140 §6.4 / SP 800-140E</x:v>
      </x:c>
      <x:c r="K69" s="20" t="str">
        <x:v>Roles/services/SSP-access matrix and conditional authentication evidence</x:v>
      </x:c>
      <x:c r="L69" s="20" t="str">
        <x:v>Architecture review</x:v>
      </x:c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 ht="70" customHeight="1">
      <x:c r="A70" s="20" t="str">
        <x:v>AS04.13</x:v>
      </x:c>
      <x:c r="B70" s="20" t="str">
        <x:v>Roles, services, authentication</x:v>
      </x:c>
      <x:c r="C70" s="20" t="str">
        <x:v>roles, services, authentication</x:v>
      </x:c>
      <x:c r="D70" s="20" t="str">
        <x:v>Required</x:v>
      </x:c>
      <x:c r="E70" s="20" t="str">
        <x:v>Baseline Level 1 requirement for the proposed module, subject to the cited NIST modification or replacement.</x:v>
      </x:c>
      <x:c r="F70" s="20" t="str">
        <x:v>ISO/IEC 19790:2012 §7.4</x:v>
      </x:c>
      <x:c r="G70" s="20" t="str">
        <x:v>ISO/IEC 24759:2017 §6.4, AS04.13</x:v>
      </x:c>
      <x:c r="H70" s="20" t="str">
        <x:v>VE04.13.01, VE04.13.02, VE04.13.03</x:v>
      </x:c>
      <x:c r="I70" s="20" t="str">
        <x:v>TE04.13.01, TE04.13.02, TE04.13.03</x:v>
      </x:c>
      <x:c r="J70" s="20" t="str">
        <x:v>SP 800-140 §6.4 / SP 800-140E</x:v>
      </x:c>
      <x:c r="K70" s="20" t="str">
        <x:v>Roles/services/SSP-access matrix and conditional authentication evidence</x:v>
      </x:c>
      <x:c r="L70" s="20" t="str">
        <x:v>Architecture review</x:v>
      </x:c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 ht="70" customHeight="1">
      <x:c r="A71" s="20" t="str">
        <x:v>AS04.14</x:v>
      </x:c>
      <x:c r="B71" s="20" t="str">
        <x:v>Roles, services, authentication</x:v>
      </x:c>
      <x:c r="C71" s="20" t="str">
        <x:v>roles, services, authentication</x:v>
      </x:c>
      <x:c r="D71" s="20" t="str">
        <x:v>Required</x:v>
      </x:c>
      <x:c r="E71" s="20" t="str">
        <x:v>Baseline Level 1 requirement for the proposed module, subject to the cited NIST modification or replacement.</x:v>
      </x:c>
      <x:c r="F71" s="20" t="str">
        <x:v>ISO/IEC 19790:2012 §7.4</x:v>
      </x:c>
      <x:c r="G71" s="20" t="str">
        <x:v>ISO/IEC 24759:2017 §6.4, AS04.14</x:v>
      </x:c>
      <x:c r="H71" s="20" t="str">
        <x:v>VE04.14.01</x:v>
      </x:c>
      <x:c r="I71" s="20" t="str">
        <x:v>TE04.14.01, TE04.14.02</x:v>
      </x:c>
      <x:c r="J71" s="20" t="str">
        <x:v>SP 800-140 §6.4 / SP 800-140E</x:v>
      </x:c>
      <x:c r="K71" s="20" t="str">
        <x:v>Roles/services/SSP-access matrix and conditional authentication evidence</x:v>
      </x:c>
      <x:c r="L71" s="20" t="str">
        <x:v>Architecture review</x:v>
      </x:c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 ht="70" customHeight="1">
      <x:c r="A72" s="20" t="str">
        <x:v>AS04.15</x:v>
      </x:c>
      <x:c r="B72" s="20" t="str">
        <x:v>Roles, services, authentication</x:v>
      </x:c>
      <x:c r="C72" s="20" t="str">
        <x:v>self-tests</x:v>
      </x:c>
      <x:c r="D72" s="20" t="str">
        <x:v>Required</x:v>
      </x:c>
      <x:c r="E72" s="20" t="str">
        <x:v>Baseline Level 1 requirement for the proposed module, subject to the cited NIST modification or replacement.</x:v>
      </x:c>
      <x:c r="F72" s="20" t="str">
        <x:v>ISO/IEC 19790:2012 §7.4</x:v>
      </x:c>
      <x:c r="G72" s="20" t="str">
        <x:v>ISO/IEC 24759:2017 §6.4, AS04.15</x:v>
      </x:c>
      <x:c r="H72" s="20" t="str">
        <x:v>VE04.15.01</x:v>
      </x:c>
      <x:c r="I72" s="20" t="str">
        <x:v>TE04.15.01</x:v>
      </x:c>
      <x:c r="J72" s="20" t="str">
        <x:v>SP 800-140 §6.4 / SP 800-140E</x:v>
      </x:c>
      <x:c r="K72" s="20" t="str">
        <x:v>Roles/services/SSP-access matrix and conditional authentication evidence</x:v>
      </x:c>
      <x:c r="L72" s="20" t="str">
        <x:v>Architecture review</x:v>
      </x:c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 ht="70" customHeight="1">
      <x:c r="A73" s="20" t="str">
        <x:v>AS04.16</x:v>
      </x:c>
      <x:c r="B73" s="20" t="str">
        <x:v>Roles, services, authentication</x:v>
      </x:c>
      <x:c r="C73" s="20" t="str">
        <x:v>approved functions; modes; zeroisation</x:v>
      </x:c>
      <x:c r="D73" s="20" t="str">
        <x:v>Required</x:v>
      </x:c>
      <x:c r="E73" s="20" t="str">
        <x:v>Baseline Level 1 requirement for the proposed module, subject to the cited NIST modification or replacement.</x:v>
      </x:c>
      <x:c r="F73" s="20" t="str">
        <x:v>ISO/IEC 19790:2012 §7.4</x:v>
      </x:c>
      <x:c r="G73" s="20" t="str">
        <x:v>ISO/IEC 24759:2017 §6.4, AS04.16</x:v>
      </x:c>
      <x:c r="H73" s="20" t="str">
        <x:v>—</x:v>
      </x:c>
      <x:c r="I73" s="20" t="str">
        <x:v>—</x:v>
      </x:c>
      <x:c r="J73" s="20" t="str">
        <x:v>SP 800-140 §6.4 / SP 800-140E</x:v>
      </x:c>
      <x:c r="K73" s="20" t="str">
        <x:v>Roles/services/SSP-access matrix and conditional authentication evidence</x:v>
      </x:c>
      <x:c r="L73" s="20" t="str">
        <x:v>Architecture review</x:v>
      </x:c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 ht="70" customHeight="1">
      <x:c r="A74" s="20" t="str">
        <x:v>AS04.17</x:v>
      </x:c>
      <x:c r="B74" s="20" t="str">
        <x:v>Roles, services, authentication</x:v>
      </x:c>
      <x:c r="C74" s="20" t="str">
        <x:v>bypass; zeroisation</x:v>
      </x:c>
      <x:c r="D74" s="20" t="str">
        <x:v>Conditional</x:v>
      </x:c>
      <x:c r="E74" s="20" t="str">
        <x:v>Applies only if the named optional mode, role, interface, or loading mechanism is present.</x:v>
      </x:c>
      <x:c r="F74" s="20" t="str">
        <x:v>ISO/IEC 19790:2012 §7.4</x:v>
      </x:c>
      <x:c r="G74" s="20" t="str">
        <x:v>ISO/IEC 24759:2017 §6.4, AS04.17</x:v>
      </x:c>
      <x:c r="H74" s="20" t="str">
        <x:v>—</x:v>
      </x:c>
      <x:c r="I74" s="20" t="str">
        <x:v>—</x:v>
      </x:c>
      <x:c r="J74" s="20" t="str">
        <x:v>SP 800-140 §6.4 / SP 800-140E</x:v>
      </x:c>
      <x:c r="K74" s="20" t="str">
        <x:v>Roles/services/SSP-access matrix and conditional authentication evidence</x:v>
      </x:c>
      <x:c r="L74" s="20" t="str">
        <x:v>Architecture review</x:v>
      </x:c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 ht="70" customHeight="1">
      <x:c r="A75" s="20" t="str">
        <x:v>AS04.18</x:v>
      </x:c>
      <x:c r="B75" s="20" t="str">
        <x:v>Roles, services, authentication</x:v>
      </x:c>
      <x:c r="C75" s="20" t="str">
        <x:v>bypass</x:v>
      </x:c>
      <x:c r="D75" s="20" t="str">
        <x:v>Conditional</x:v>
      </x:c>
      <x:c r="E75" s="20" t="str">
        <x:v>Applies only if the named optional mode, role, interface, or loading mechanism is present.</x:v>
      </x:c>
      <x:c r="F75" s="20" t="str">
        <x:v>ISO/IEC 19790:2012 §7.4</x:v>
      </x:c>
      <x:c r="G75" s="20" t="str">
        <x:v>ISO/IEC 24759:2017 §6.4, AS04.18</x:v>
      </x:c>
      <x:c r="H75" s="20" t="str">
        <x:v>VE04.18.01</x:v>
      </x:c>
      <x:c r="I75" s="20" t="str">
        <x:v>TE04.18.01</x:v>
      </x:c>
      <x:c r="J75" s="20" t="str">
        <x:v>SP 800-140 §6.4 / SP 800-140E</x:v>
      </x:c>
      <x:c r="K75" s="20" t="str">
        <x:v>Roles/services/SSP-access matrix and conditional authentication evidence</x:v>
      </x:c>
      <x:c r="L75" s="20" t="str">
        <x:v>Architecture review</x:v>
      </x:c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 ht="70" customHeight="1">
      <x:c r="A76" s="20" t="str">
        <x:v>AS04.19</x:v>
      </x:c>
      <x:c r="B76" s="20" t="str">
        <x:v>Roles, services, authentication</x:v>
      </x:c>
      <x:c r="C76" s="20" t="str">
        <x:v>roles; bypass</x:v>
      </x:c>
      <x:c r="D76" s="20" t="str">
        <x:v>Conditional</x:v>
      </x:c>
      <x:c r="E76" s="20" t="str">
        <x:v>Applies only if the named optional mode, role, interface, or loading mechanism is present.</x:v>
      </x:c>
      <x:c r="F76" s="20" t="str">
        <x:v>ISO/IEC 19790:2012 §7.4</x:v>
      </x:c>
      <x:c r="G76" s="20" t="str">
        <x:v>ISO/IEC 24759:2017 §6.4, AS04.19</x:v>
      </x:c>
      <x:c r="H76" s="20" t="str">
        <x:v>VE04.19.01</x:v>
      </x:c>
      <x:c r="I76" s="20" t="str">
        <x:v>TE04.19.01, TE04.19.02, TE04.19.03</x:v>
      </x:c>
      <x:c r="J76" s="20" t="str">
        <x:v>SP 800-140 §6.4 / SP 800-140E</x:v>
      </x:c>
      <x:c r="K76" s="20" t="str">
        <x:v>Roles/services/SSP-access matrix and conditional authentication evidence</x:v>
      </x:c>
      <x:c r="L76" s="20" t="str">
        <x:v>Architecture review</x:v>
      </x:c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 ht="70" customHeight="1">
      <x:c r="A77" s="20" t="str">
        <x:v>AS04.20</x:v>
      </x:c>
      <x:c r="B77" s="20" t="str">
        <x:v>Roles, services, authentication</x:v>
      </x:c>
      <x:c r="C77" s="20" t="str">
        <x:v>bypass</x:v>
      </x:c>
      <x:c r="D77" s="20" t="str">
        <x:v>Conditional</x:v>
      </x:c>
      <x:c r="E77" s="20" t="str">
        <x:v>Applies only if the named optional mode, role, interface, or loading mechanism is present.</x:v>
      </x:c>
      <x:c r="F77" s="20" t="str">
        <x:v>ISO/IEC 19790:2012 §7.4</x:v>
      </x:c>
      <x:c r="G77" s="20" t="str">
        <x:v>ISO/IEC 24759:2017 §6.4, AS04.20</x:v>
      </x:c>
      <x:c r="H77" s="20" t="str">
        <x:v>VE04.20.01, VE04.20.02</x:v>
      </x:c>
      <x:c r="I77" s="20" t="str">
        <x:v>TE04.20.01, TE04.20.02, TE04.20.03</x:v>
      </x:c>
      <x:c r="J77" s="20" t="str">
        <x:v>SP 800-140 §6.4 / SP 800-140E</x:v>
      </x:c>
      <x:c r="K77" s="20" t="str">
        <x:v>Roles/services/SSP-access matrix and conditional authentication evidence</x:v>
      </x:c>
      <x:c r="L77" s="20" t="str">
        <x:v>Architecture review</x:v>
      </x:c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 ht="70" customHeight="1">
      <x:c r="A78" s="20" t="str">
        <x:v>AS04.21</x:v>
      </x:c>
      <x:c r="B78" s="20" t="str">
        <x:v>Roles, services, authentication</x:v>
      </x:c>
      <x:c r="C78" s="20" t="str">
        <x:v>bypass</x:v>
      </x:c>
      <x:c r="D78" s="20" t="str">
        <x:v>Conditional</x:v>
      </x:c>
      <x:c r="E78" s="20" t="str">
        <x:v>Applies only if the named optional mode, role, interface, or loading mechanism is present.</x:v>
      </x:c>
      <x:c r="F78" s="20" t="str">
        <x:v>ISO/IEC 19790:2012 §7.4</x:v>
      </x:c>
      <x:c r="G78" s="20" t="str">
        <x:v>ISO/IEC 24759:2017 §6.4, AS04.21</x:v>
      </x:c>
      <x:c r="H78" s="20" t="str">
        <x:v>VE04.21.01, VE04.21.02</x:v>
      </x:c>
      <x:c r="I78" s="20" t="str">
        <x:v>TE04.21.01, TE04.21.02</x:v>
      </x:c>
      <x:c r="J78" s="20" t="str">
        <x:v>SP 800-140 §6.4 / SP 800-140E</x:v>
      </x:c>
      <x:c r="K78" s="20" t="str">
        <x:v>Roles/services/SSP-access matrix and conditional authentication evidence</x:v>
      </x:c>
      <x:c r="L78" s="20" t="str">
        <x:v>Architecture review</x:v>
      </x:c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 ht="70" customHeight="1">
      <x:c r="A79" s="20" t="str">
        <x:v>AS04.22</x:v>
      </x:c>
      <x:c r="B79" s="20" t="str">
        <x:v>Roles, services, authentication</x:v>
      </x:c>
      <x:c r="C79" s="20" t="str">
        <x:v>services; bypass</x:v>
      </x:c>
      <x:c r="D79" s="20" t="str">
        <x:v>Conditional</x:v>
      </x:c>
      <x:c r="E79" s="20" t="str">
        <x:v>Applies only if the named optional mode, role, interface, or loading mechanism is present.</x:v>
      </x:c>
      <x:c r="F79" s="20" t="str">
        <x:v>ISO/IEC 19790:2012 §7.4</x:v>
      </x:c>
      <x:c r="G79" s="20" t="str">
        <x:v>ISO/IEC 24759:2017 §6.4, AS04.22</x:v>
      </x:c>
      <x:c r="H79" s="20" t="str">
        <x:v>VE04.22.01</x:v>
      </x:c>
      <x:c r="I79" s="20" t="str">
        <x:v>TE04.22.01, TE04.22.02</x:v>
      </x:c>
      <x:c r="J79" s="20" t="str">
        <x:v>SP 800-140 §6.4 / SP 800-140E</x:v>
      </x:c>
      <x:c r="K79" s="20" t="str">
        <x:v>Roles/services/SSP-access matrix and conditional authentication evidence</x:v>
      </x:c>
      <x:c r="L79" s="20" t="str">
        <x:v>Architecture review</x:v>
      </x:c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 ht="70" customHeight="1">
      <x:c r="A80" s="20" t="str">
        <x:v>AS04.23</x:v>
      </x:c>
      <x:c r="B80" s="20" t="str">
        <x:v>Roles, services, authentication</x:v>
      </x:c>
      <x:c r="C80" s="20" t="str">
        <x:v>roles, services, authentication</x:v>
      </x:c>
      <x:c r="D80" s="20" t="str">
        <x:v>Required</x:v>
      </x:c>
      <x:c r="E80" s="20" t="str">
        <x:v>Baseline Level 1 requirement for the proposed module, subject to the cited NIST modification or replacement.</x:v>
      </x:c>
      <x:c r="F80" s="20" t="str">
        <x:v>ISO/IEC 19790:2012 §7.4</x:v>
      </x:c>
      <x:c r="G80" s="20" t="str">
        <x:v>ISO/IEC 24759:2017 §6.4, AS04.23</x:v>
      </x:c>
      <x:c r="H80" s="20" t="str">
        <x:v>VE04.23.01</x:v>
      </x:c>
      <x:c r="I80" s="20" t="str">
        <x:v>TE04.23.01</x:v>
      </x:c>
      <x:c r="J80" s="20" t="str">
        <x:v>SP 800-140 §6.4 / SP 800-140E</x:v>
      </x:c>
      <x:c r="K80" s="20" t="str">
        <x:v>Roles/services/SSP-access matrix and conditional authentication evidence</x:v>
      </x:c>
      <x:c r="L80" s="20" t="str">
        <x:v>Architecture review</x:v>
      </x:c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 ht="70" customHeight="1">
      <x:c r="A81" s="20" t="str">
        <x:v>AS04.24</x:v>
      </x:c>
      <x:c r="B81" s="20" t="str">
        <x:v>Roles, services, authentication</x:v>
      </x:c>
      <x:c r="C81" s="20" t="str">
        <x:v>roles, services, authentication</x:v>
      </x:c>
      <x:c r="D81" s="20" t="str">
        <x:v>Conditional</x:v>
      </x:c>
      <x:c r="E81" s="20" t="str">
        <x:v>Applies only if the final module supports self-initiated cryptographic output.</x:v>
      </x:c>
      <x:c r="F81" s="20" t="str">
        <x:v>ISO/IEC 19790:2012 §7.4</x:v>
      </x:c>
      <x:c r="G81" s="20" t="str">
        <x:v>ISO/IEC 24759:2017 §6.4, AS04.24</x:v>
      </x:c>
      <x:c r="H81" s="20" t="str">
        <x:v>—</x:v>
      </x:c>
      <x:c r="I81" s="20" t="str">
        <x:v>—</x:v>
      </x:c>
      <x:c r="J81" s="20" t="str">
        <x:v>SP 800-140 §6.4 / SP 800-140E</x:v>
      </x:c>
      <x:c r="K81" s="20" t="str">
        <x:v>Roles/services/SSP-access matrix and conditional authentication evidence</x:v>
      </x:c>
      <x:c r="L81" s="20" t="str">
        <x:v>Architecture review</x:v>
      </x:c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 ht="70" customHeight="1">
      <x:c r="A82" s="20" t="str">
        <x:v>AS04.25</x:v>
      </x:c>
      <x:c r="B82" s="20" t="str">
        <x:v>Roles, services, authentication</x:v>
      </x:c>
      <x:c r="C82" s="20" t="str">
        <x:v>roles, services, authentication</x:v>
      </x:c>
      <x:c r="D82" s="20" t="str">
        <x:v>Conditional</x:v>
      </x:c>
      <x:c r="E82" s="20" t="str">
        <x:v>Applies only if the final module supports self-initiated cryptographic output.</x:v>
      </x:c>
      <x:c r="F82" s="20" t="str">
        <x:v>ISO/IEC 19790:2012 §7.4</x:v>
      </x:c>
      <x:c r="G82" s="20" t="str">
        <x:v>ISO/IEC 24759:2017 §6.4, AS04.25</x:v>
      </x:c>
      <x:c r="H82" s="20" t="str">
        <x:v>VE04.25.01, VE04.25.02, VE04.25.03</x:v>
      </x:c>
      <x:c r="I82" s="20" t="str">
        <x:v>TE04.25.01, TE04.25.02, TE04.25.03</x:v>
      </x:c>
      <x:c r="J82" s="20" t="str">
        <x:v>SP 800-140 §6.4 / SP 800-140E</x:v>
      </x:c>
      <x:c r="K82" s="20" t="str">
        <x:v>Roles/services/SSP-access matrix and conditional authentication evidence</x:v>
      </x:c>
      <x:c r="L82" s="20" t="str">
        <x:v>Architecture review</x:v>
      </x:c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 ht="70" customHeight="1">
      <x:c r="A83" s="20" t="str">
        <x:v>AS04.26</x:v>
      </x:c>
      <x:c r="B83" s="20" t="str">
        <x:v>Roles, services, authentication</x:v>
      </x:c>
      <x:c r="C83" s="20" t="str">
        <x:v>software loading</x:v>
      </x:c>
      <x:c r="D83" s="20" t="str">
        <x:v>Conditional</x:v>
      </x:c>
      <x:c r="E83" s="20" t="str">
        <x:v>Applies only if the named optional mode, role, interface, or loading mechanism is present.</x:v>
      </x:c>
      <x:c r="F83" s="20" t="str">
        <x:v>ISO/IEC 19790:2012 §7.4</x:v>
      </x:c>
      <x:c r="G83" s="20" t="str">
        <x:v>ISO/IEC 24759:2017 §6.4, AS04.26</x:v>
      </x:c>
      <x:c r="H83" s="20" t="str">
        <x:v>—</x:v>
      </x:c>
      <x:c r="I83" s="20" t="str">
        <x:v>—</x:v>
      </x:c>
      <x:c r="J83" s="20" t="str">
        <x:v>SP 800-140 §6.4 / SP 800-140E</x:v>
      </x:c>
      <x:c r="K83" s="20" t="str">
        <x:v>Roles/services/SSP-access matrix and conditional authentication evidence</x:v>
      </x:c>
      <x:c r="L83" s="20" t="str">
        <x:v>Architecture review</x:v>
      </x:c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 ht="70" customHeight="1">
      <x:c r="A84" s="20" t="str">
        <x:v>AS04.27</x:v>
      </x:c>
      <x:c r="B84" s="20" t="str">
        <x:v>Roles, services, authentication</x:v>
      </x:c>
      <x:c r="C84" s="20" t="str">
        <x:v>software loading</x:v>
      </x:c>
      <x:c r="D84" s="20" t="str">
        <x:v>Required</x:v>
      </x:c>
      <x:c r="E84" s="20" t="str">
        <x:v>Baseline Level 1 requirement for the proposed module, subject to the cited NIST modification or replacement.</x:v>
      </x:c>
      <x:c r="F84" s="20" t="str">
        <x:v>ISO/IEC 19790:2012 §7.4</x:v>
      </x:c>
      <x:c r="G84" s="20" t="str">
        <x:v>ISO/IEC 24759:2017 §6.4, AS04.27</x:v>
      </x:c>
      <x:c r="H84" s="20" t="str">
        <x:v>—</x:v>
      </x:c>
      <x:c r="I84" s="20" t="str">
        <x:v>—</x:v>
      </x:c>
      <x:c r="J84" s="20" t="str">
        <x:v>SP 800-140 §6.4 / SP 800-140E</x:v>
      </x:c>
      <x:c r="K84" s="20" t="str">
        <x:v>Roles/services/SSP-access matrix and conditional authentication evidence</x:v>
      </x:c>
      <x:c r="L84" s="20" t="str">
        <x:v>Architecture review</x:v>
      </x:c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 ht="70" customHeight="1">
      <x:c r="A85" s="20" t="str">
        <x:v>AS04.28</x:v>
      </x:c>
      <x:c r="B85" s="20" t="str">
        <x:v>Roles, services, authentication</x:v>
      </x:c>
      <x:c r="C85" s="20" t="str">
        <x:v>software loading</x:v>
      </x:c>
      <x:c r="D85" s="20" t="str">
        <x:v>Required</x:v>
      </x:c>
      <x:c r="E85" s="20" t="str">
        <x:v>Baseline Level 1 requirement for the proposed module, subject to the cited NIST modification or replacement.</x:v>
      </x:c>
      <x:c r="F85" s="20" t="str">
        <x:v>ISO/IEC 19790:2012 §7.4</x:v>
      </x:c>
      <x:c r="G85" s="20" t="str">
        <x:v>ISO/IEC 24759:2017 §6.4, AS04.28</x:v>
      </x:c>
      <x:c r="H85" s="20" t="str">
        <x:v>VE04.28.01</x:v>
      </x:c>
      <x:c r="I85" s="20" t="str">
        <x:v>TE04.28.01</x:v>
      </x:c>
      <x:c r="J85" s="20" t="str">
        <x:v>SP 800-140 §6.4 / SP 800-140E</x:v>
      </x:c>
      <x:c r="K85" s="20" t="str">
        <x:v>Roles/services/SSP-access matrix and conditional authentication evidence</x:v>
      </x:c>
      <x:c r="L85" s="20" t="str">
        <x:v>Architecture review</x:v>
      </x:c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 ht="70" customHeight="1">
      <x:c r="A86" s="20" t="str">
        <x:v>AS04.29</x:v>
      </x:c>
      <x:c r="B86" s="20" t="str">
        <x:v>Roles, services, authentication</x:v>
      </x:c>
      <x:c r="C86" s="20" t="str">
        <x:v>interfaces; data output; software loading</x:v>
      </x:c>
      <x:c r="D86" s="20" t="str">
        <x:v>Conditional</x:v>
      </x:c>
      <x:c r="E86" s="20" t="str">
        <x:v>Applies only if the named optional mode, role, interface, or loading mechanism is present.</x:v>
      </x:c>
      <x:c r="F86" s="20" t="str">
        <x:v>ISO/IEC 19790:2012 §7.4</x:v>
      </x:c>
      <x:c r="G86" s="20" t="str">
        <x:v>ISO/IEC 24759:2017 §6.4, AS04.29</x:v>
      </x:c>
      <x:c r="H86" s="20" t="str">
        <x:v>VE04.29.01</x:v>
      </x:c>
      <x:c r="I86" s="20" t="str">
        <x:v>TE04.29.01</x:v>
      </x:c>
      <x:c r="J86" s="20" t="str">
        <x:v>SP 800-140 §6.4 / SP 800-140E</x:v>
      </x:c>
      <x:c r="K86" s="20" t="str">
        <x:v>Roles/services/SSP-access matrix and conditional authentication evidence</x:v>
      </x:c>
      <x:c r="L86" s="20" t="str">
        <x:v>Architecture review</x:v>
      </x:c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 ht="70" customHeight="1">
      <x:c r="A87" s="20" t="str">
        <x:v>AS04.30</x:v>
      </x:c>
      <x:c r="B87" s="20" t="str">
        <x:v>Roles, services, authentication</x:v>
      </x:c>
      <x:c r="C87" s="20" t="str">
        <x:v>roles, services, authentication</x:v>
      </x:c>
      <x:c r="D87" s="20" t="str">
        <x:v>Required</x:v>
      </x:c>
      <x:c r="E87" s="20" t="str">
        <x:v>Baseline Level 1 requirement for the proposed module, subject to the cited NIST modification or replacement.</x:v>
      </x:c>
      <x:c r="F87" s="20" t="str">
        <x:v>ISO/IEC 19790:2012 §7.4</x:v>
      </x:c>
      <x:c r="G87" s="20" t="str">
        <x:v>ISO/IEC 24759:2017 §6.4, AS04.30</x:v>
      </x:c>
      <x:c r="H87" s="20" t="str">
        <x:v>—</x:v>
      </x:c>
      <x:c r="I87" s="20" t="str">
        <x:v>—</x:v>
      </x:c>
      <x:c r="J87" s="20" t="str">
        <x:v>SP 800-140 §6.4 / SP 800-140E</x:v>
      </x:c>
      <x:c r="K87" s="20" t="str">
        <x:v>Roles/services/SSP-access matrix and conditional authentication evidence</x:v>
      </x:c>
      <x:c r="L87" s="20" t="str">
        <x:v>Architecture review</x:v>
      </x:c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 ht="70" customHeight="1">
      <x:c r="A88" s="20" t="str">
        <x:v>AS04.31</x:v>
      </x:c>
      <x:c r="B88" s="20" t="str">
        <x:v>Roles, services, authentication</x:v>
      </x:c>
      <x:c r="C88" s="20" t="str">
        <x:v>approved functions; self-tests</x:v>
      </x:c>
      <x:c r="D88" s="20" t="str">
        <x:v>Required</x:v>
      </x:c>
      <x:c r="E88" s="20" t="str">
        <x:v>Baseline Level 1 requirement for the proposed module, subject to the cited NIST modification or replacement.</x:v>
      </x:c>
      <x:c r="F88" s="20" t="str">
        <x:v>ISO/IEC 19790:2012 §7.4</x:v>
      </x:c>
      <x:c r="G88" s="20" t="str">
        <x:v>ISO/IEC 24759:2017 §6.4, AS04.31</x:v>
      </x:c>
      <x:c r="H88" s="20" t="str">
        <x:v>—</x:v>
      </x:c>
      <x:c r="I88" s="20" t="str">
        <x:v>—</x:v>
      </x:c>
      <x:c r="J88" s="20" t="str">
        <x:v>SP 800-140 §6.4 / SP 800-140E</x:v>
      </x:c>
      <x:c r="K88" s="20" t="str">
        <x:v>Roles/services/SSP-access matrix and conditional authentication evidence</x:v>
      </x:c>
      <x:c r="L88" s="20" t="str">
        <x:v>Architecture review</x:v>
      </x:c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 ht="70" customHeight="1">
      <x:c r="A89" s="20" t="str">
        <x:v>AS04.32</x:v>
      </x:c>
      <x:c r="B89" s="20" t="str">
        <x:v>Roles, services, authentication</x:v>
      </x:c>
      <x:c r="C89" s="20" t="str">
        <x:v>software loading</x:v>
      </x:c>
      <x:c r="D89" s="20" t="str">
        <x:v>Required</x:v>
      </x:c>
      <x:c r="E89" s="20" t="str">
        <x:v>Baseline Level 1 requirement for the proposed module, subject to the cited NIST modification or replacement.</x:v>
      </x:c>
      <x:c r="F89" s="20" t="str">
        <x:v>ISO/IEC 19790:2012 §7.4</x:v>
      </x:c>
      <x:c r="G89" s="20" t="str">
        <x:v>ISO/IEC 24759:2017 §6.4, AS04.32</x:v>
      </x:c>
      <x:c r="H89" s="20" t="str">
        <x:v>VE04.32.01</x:v>
      </x:c>
      <x:c r="I89" s="20" t="str">
        <x:v>TE04.32.01</x:v>
      </x:c>
      <x:c r="J89" s="20" t="str">
        <x:v>SP 800-140 §6.4 / SP 800-140E</x:v>
      </x:c>
      <x:c r="K89" s="20" t="str">
        <x:v>Roles/services/SSP-access matrix and conditional authentication evidence</x:v>
      </x:c>
      <x:c r="L89" s="20" t="str">
        <x:v>Architecture review</x:v>
      </x:c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 ht="70" customHeight="1">
      <x:c r="A90" s="20" t="str">
        <x:v>AS04.33</x:v>
      </x:c>
      <x:c r="B90" s="20" t="str">
        <x:v>Roles, services, authentication</x:v>
      </x:c>
      <x:c r="C90" s="20" t="str">
        <x:v>software loading</x:v>
      </x:c>
      <x:c r="D90" s="20" t="str">
        <x:v>Required</x:v>
      </x:c>
      <x:c r="E90" s="20" t="str">
        <x:v>Baseline Level 1 requirement for the proposed module, subject to the cited NIST modification or replacement.</x:v>
      </x:c>
      <x:c r="F90" s="20" t="str">
        <x:v>ISO/IEC 19790:2012 §7.4</x:v>
      </x:c>
      <x:c r="G90" s="20" t="str">
        <x:v>ISO/IEC 24759:2017 §6.4, AS04.33</x:v>
      </x:c>
      <x:c r="H90" s="20" t="str">
        <x:v>VE04.33.01, VE04.33.02</x:v>
      </x:c>
      <x:c r="I90" s="20" t="str">
        <x:v>TE04.33.01</x:v>
      </x:c>
      <x:c r="J90" s="20" t="str">
        <x:v>SP 800-140 §6.4 / SP 800-140E</x:v>
      </x:c>
      <x:c r="K90" s="20" t="str">
        <x:v>Roles/services/SSP-access matrix and conditional authentication evidence</x:v>
      </x:c>
      <x:c r="L90" s="20" t="str">
        <x:v>Architecture review</x:v>
      </x:c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 ht="70" customHeight="1">
      <x:c r="A91" s="20" t="str">
        <x:v>AS04.34</x:v>
      </x:c>
      <x:c r="B91" s="20" t="str">
        <x:v>Roles, services, authentication</x:v>
      </x:c>
      <x:c r="C91" s="20" t="str">
        <x:v>roles, services, authentication</x:v>
      </x:c>
      <x:c r="D91" s="20" t="str">
        <x:v>Required</x:v>
      </x:c>
      <x:c r="E91" s="20" t="str">
        <x:v>Baseline Level 1 requirement for the proposed module, subject to the cited NIST modification or replacement.</x:v>
      </x:c>
      <x:c r="F91" s="20" t="str">
        <x:v>ISO/IEC 19790:2012 §7.4</x:v>
      </x:c>
      <x:c r="G91" s="20" t="str">
        <x:v>ISO/IEC 24759:2017 §6.4, AS04.34</x:v>
      </x:c>
      <x:c r="H91" s="20" t="str">
        <x:v>VE04.34.01</x:v>
      </x:c>
      <x:c r="I91" s="20" t="str">
        <x:v>TE04.34.01</x:v>
      </x:c>
      <x:c r="J91" s="20" t="str">
        <x:v>SP 800-140 §6.4 / SP 800-140E</x:v>
      </x:c>
      <x:c r="K91" s="20" t="str">
        <x:v>Roles/services/SSP-access matrix and conditional authentication evidence</x:v>
      </x:c>
      <x:c r="L91" s="20" t="str">
        <x:v>Architecture review</x:v>
      </x:c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 ht="70" customHeight="1">
      <x:c r="A92" s="20" t="str">
        <x:v>AS04.35</x:v>
      </x:c>
      <x:c r="B92" s="20" t="str">
        <x:v>Roles, services, authentication</x:v>
      </x:c>
      <x:c r="C92" s="20" t="str">
        <x:v>zeroisation</x:v>
      </x:c>
      <x:c r="D92" s="20" t="str">
        <x:v>Required</x:v>
      </x:c>
      <x:c r="E92" s="20" t="str">
        <x:v>Baseline Level 1 requirement for the proposed module, subject to the cited NIST modification or replacement.</x:v>
      </x:c>
      <x:c r="F92" s="20" t="str">
        <x:v>ISO/IEC 19790:2012 §7.4</x:v>
      </x:c>
      <x:c r="G92" s="20" t="str">
        <x:v>ISO/IEC 24759:2017 §6.4, AS04.35</x:v>
      </x:c>
      <x:c r="H92" s="20" t="str">
        <x:v>VE04.35.01, VE04.35.02</x:v>
      </x:c>
      <x:c r="I92" s="20" t="str">
        <x:v>TE04.35.01, TE04.35.02</x:v>
      </x:c>
      <x:c r="J92" s="20" t="str">
        <x:v>SP 800-140 §6.4 / SP 800-140E</x:v>
      </x:c>
      <x:c r="K92" s="20" t="str">
        <x:v>Roles/services/SSP-access matrix and conditional authentication evidence</x:v>
      </x:c>
      <x:c r="L92" s="20" t="str">
        <x:v>Architecture review</x:v>
      </x:c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 ht="70" customHeight="1">
      <x:c r="A93" s="20" t="str">
        <x:v>AS04.43</x:v>
      </x:c>
      <x:c r="B93" s="20" t="str">
        <x:v>Roles, services, authentication</x:v>
      </x:c>
      <x:c r="C93" s="20" t="str">
        <x:v>authentication</x:v>
      </x:c>
      <x:c r="D93" s="20" t="str">
        <x:v>Required</x:v>
      </x:c>
      <x:c r="E93" s="20" t="str">
        <x:v>Baseline Level 1 requirement for the proposed module, subject to the cited NIST modification or replacement.</x:v>
      </x:c>
      <x:c r="F93" s="20" t="str">
        <x:v>ISO/IEC 19790:2012 §7.4</x:v>
      </x:c>
      <x:c r="G93" s="20" t="str">
        <x:v>ISO/IEC 24759:2017 §6.4, AS04.43</x:v>
      </x:c>
      <x:c r="H93" s="20" t="str">
        <x:v>VE04.43.01</x:v>
      </x:c>
      <x:c r="I93" s="20" t="str">
        <x:v>TE04.43.01, TE04.43.02</x:v>
      </x:c>
      <x:c r="J93" s="20" t="str">
        <x:v>SP 800-140 §6.4 / SP 800-140E</x:v>
      </x:c>
      <x:c r="K93" s="20" t="str">
        <x:v>Roles/services/SSP-access matrix and conditional authentication evidence</x:v>
      </x:c>
      <x:c r="L93" s="20" t="str">
        <x:v>Architecture review</x:v>
      </x:c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 ht="70" customHeight="1">
      <x:c r="A94" s="20" t="str">
        <x:v>AS04.44</x:v>
      </x:c>
      <x:c r="B94" s="20" t="str">
        <x:v>Roles, services, authentication</x:v>
      </x:c>
      <x:c r="C94" s="20" t="str">
        <x:v>approved functions; authentication</x:v>
      </x:c>
      <x:c r="D94" s="20" t="str">
        <x:v>Conditional</x:v>
      </x:c>
      <x:c r="E94" s="20" t="str">
        <x:v>Level 1 permits implicit role assumption; this applies only if an authentication mechanism is implemented.</x:v>
      </x:c>
      <x:c r="F94" s="20" t="str">
        <x:v>ISO/IEC 19790:2012 §7.4</x:v>
      </x:c>
      <x:c r="G94" s="20" t="str">
        <x:v>ISO/IEC 24759:2017 §6.4, AS04.44</x:v>
      </x:c>
      <x:c r="H94" s="20" t="str">
        <x:v>VE04.44.01</x:v>
      </x:c>
      <x:c r="I94" s="20" t="str">
        <x:v>TE04.44.01, TE04.44.02</x:v>
      </x:c>
      <x:c r="J94" s="20" t="str">
        <x:v>SP 800-140 §6.4 / SP 800-140E</x:v>
      </x:c>
      <x:c r="K94" s="20" t="str">
        <x:v>Roles/services/SSP-access matrix and conditional authentication evidence</x:v>
      </x:c>
      <x:c r="L94" s="20" t="str">
        <x:v>Architecture review</x:v>
      </x:c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 ht="70" customHeight="1">
      <x:c r="A95" s="20" t="str">
        <x:v>AS04.56</x:v>
      </x:c>
      <x:c r="B95" s="20" t="str">
        <x:v>Roles, services, authentication</x:v>
      </x:c>
      <x:c r="C95" s="20" t="str">
        <x:v>roles; authentication</x:v>
      </x:c>
      <x:c r="D95" s="20" t="str">
        <x:v>Required</x:v>
      </x:c>
      <x:c r="E95" s="20" t="str">
        <x:v>Baseline Level 1 requirement for the proposed module, subject to the cited NIST modification or replacement.</x:v>
      </x:c>
      <x:c r="F95" s="20" t="str">
        <x:v>ISO/IEC 19790:2012 §7.4</x:v>
      </x:c>
      <x:c r="G95" s="20" t="str">
        <x:v>ISO/IEC 24759:2017 §6.4, AS04.56</x:v>
      </x:c>
      <x:c r="H95" s="20" t="str">
        <x:v>VE04.56.01, VE04.56.02, VE04.56.03</x:v>
      </x:c>
      <x:c r="I95" s="20" t="str">
        <x:v>TE04.56.01, TE04.56.02</x:v>
      </x:c>
      <x:c r="J95" s="20" t="str">
        <x:v>SP 800-140 §6.4 / SP 800-140E</x:v>
      </x:c>
      <x:c r="K95" s="20" t="str">
        <x:v>Roles/services/SSP-access matrix and conditional authentication evidence</x:v>
      </x:c>
      <x:c r="L95" s="20" t="str">
        <x:v>Architecture review</x:v>
      </x:c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 ht="70" customHeight="1">
      <x:c r="A96" s="20" t="str">
        <x:v>AS05.01</x:v>
      </x:c>
      <x:c r="B96" s="20" t="str">
        <x:v>Software/firmware security</x:v>
      </x:c>
      <x:c r="C96" s="20" t="str">
        <x:v>software/firmware security</x:v>
      </x:c>
      <x:c r="D96" s="20" t="str">
        <x:v>Required</x:v>
      </x:c>
      <x:c r="E96" s="20" t="str">
        <x:v>Baseline Level 1 requirement for the proposed module, subject to the cited NIST modification or replacement.</x:v>
      </x:c>
      <x:c r="F96" s="20" t="str">
        <x:v>ISO/IEC 19790:2012 §7.5</x:v>
      </x:c>
      <x:c r="G96" s="20" t="str">
        <x:v>ISO/IEC 24759:2017 §6.5, AS05.01</x:v>
      </x:c>
      <x:c r="H96" s="20" t="str">
        <x:v>—</x:v>
      </x:c>
      <x:c r="I96" s="20" t="str">
        <x:v>—</x:v>
      </x:c>
      <x:c r="J96" s="20" t="str">
        <x:v>SP 800-140 §6.5 / IG §10</x:v>
      </x:c>
      <x:c r="K96" s="20" t="str">
        <x:v>Software inventory, integrity mechanism, loading controls, and integrity tests</x:v>
      </x:c>
      <x:c r="L96" s="20" t="str">
        <x:v>Architecture review</x:v>
      </x:c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 ht="70" customHeight="1">
      <x:c r="A97" s="20" t="str">
        <x:v>AS05.02</x:v>
      </x:c>
      <x:c r="B97" s="20" t="str">
        <x:v>Software/firmware security</x:v>
      </x:c>
      <x:c r="C97" s="20" t="str">
        <x:v>software/firmware security</x:v>
      </x:c>
      <x:c r="D97" s="20" t="str">
        <x:v>Required</x:v>
      </x:c>
      <x:c r="E97" s="20" t="str">
        <x:v>Baseline Level 1 requirement for the proposed module, subject to the cited NIST modification or replacement.</x:v>
      </x:c>
      <x:c r="F97" s="20" t="str">
        <x:v>ISO/IEC 19790:2012 §7.5</x:v>
      </x:c>
      <x:c r="G97" s="20" t="str">
        <x:v>ISO/IEC 24759:2017 §6.5, AS05.02</x:v>
      </x:c>
      <x:c r="H97" s="20" t="str">
        <x:v>VE05.02.01</x:v>
      </x:c>
      <x:c r="I97" s="20" t="str">
        <x:v>TE05.02.01</x:v>
      </x:c>
      <x:c r="J97" s="20" t="str">
        <x:v>SP 800-140 §6.5 / IG §10</x:v>
      </x:c>
      <x:c r="K97" s="20" t="str">
        <x:v>Software inventory, integrity mechanism, loading controls, and integrity tests</x:v>
      </x:c>
      <x:c r="L97" s="20" t="str">
        <x:v>Architecture review</x:v>
      </x:c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 ht="70" customHeight="1">
      <x:c r="A98" s="20" t="str">
        <x:v>AS05.03</x:v>
      </x:c>
      <x:c r="B98" s="20" t="str">
        <x:v>Software/firmware security</x:v>
      </x:c>
      <x:c r="C98" s="20" t="str">
        <x:v>software/firmware security</x:v>
      </x:c>
      <x:c r="D98" s="20" t="str">
        <x:v>Required</x:v>
      </x:c>
      <x:c r="E98" s="20" t="str">
        <x:v>Baseline Level 1 requirement for the proposed module, subject to the cited NIST modification or replacement.</x:v>
      </x:c>
      <x:c r="F98" s="20" t="str">
        <x:v>ISO/IEC 19790:2012 §7.5</x:v>
      </x:c>
      <x:c r="G98" s="20" t="str">
        <x:v>ISO/IEC 24759:2017 §6.5, AS05.03</x:v>
      </x:c>
      <x:c r="H98" s="20" t="str">
        <x:v>—</x:v>
      </x:c>
      <x:c r="I98" s="20" t="str">
        <x:v>—</x:v>
      </x:c>
      <x:c r="J98" s="20" t="str">
        <x:v>SP 800-140 §6.5 / IG §10</x:v>
      </x:c>
      <x:c r="K98" s="20" t="str">
        <x:v>Software inventory, integrity mechanism, loading controls, and integrity tests</x:v>
      </x:c>
      <x:c r="L98" s="20" t="str">
        <x:v>Architecture review</x:v>
      </x:c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 ht="70" customHeight="1">
      <x:c r="A99" s="20" t="str">
        <x:v>AS05.04</x:v>
      </x:c>
      <x:c r="B99" s="20" t="str">
        <x:v>Software/firmware security</x:v>
      </x:c>
      <x:c r="C99" s="20" t="str">
        <x:v>delivery/install</x:v>
      </x:c>
      <x:c r="D99" s="20" t="str">
        <x:v>Required</x:v>
      </x:c>
      <x:c r="E99" s="20" t="str">
        <x:v>Baseline Level 1 requirement for the proposed module, subject to the cited NIST modification or replacement.</x:v>
      </x:c>
      <x:c r="F99" s="20" t="str">
        <x:v>ISO/IEC 19790:2012 §7.5</x:v>
      </x:c>
      <x:c r="G99" s="20" t="str">
        <x:v>ISO/IEC 24759:2017 §6.5, AS05.04</x:v>
      </x:c>
      <x:c r="H99" s="20" t="str">
        <x:v>VE05.04.01</x:v>
      </x:c>
      <x:c r="I99" s="20" t="str">
        <x:v>TE05.04.01</x:v>
      </x:c>
      <x:c r="J99" s="20" t="str">
        <x:v>SP 800-140 §6.5 / IG §10</x:v>
      </x:c>
      <x:c r="K99" s="20" t="str">
        <x:v>Software inventory, integrity mechanism, loading controls, and integrity tests</x:v>
      </x:c>
      <x:c r="L99" s="20" t="str">
        <x:v>Architecture review</x:v>
      </x:c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 ht="70" customHeight="1">
      <x:c r="A100" s="20" t="str">
        <x:v>AS05.05</x:v>
      </x:c>
      <x:c r="B100" s="20" t="str">
        <x:v>Software/firmware security</x:v>
      </x:c>
      <x:c r="C100" s="20" t="str">
        <x:v>boundary; module type; modes</x:v>
      </x:c>
      <x:c r="D100" s="20" t="str">
        <x:v>Required</x:v>
      </x:c>
      <x:c r="E100" s="20" t="str">
        <x:v>Baseline Level 1 requirement for the proposed module, subject to the cited NIST modification or replacement.</x:v>
      </x:c>
      <x:c r="F100" s="20" t="str">
        <x:v>ISO/IEC 19790:2012 §7.5</x:v>
      </x:c>
      <x:c r="G100" s="20" t="str">
        <x:v>ISO/IEC 24759:2017 §6.5, AS05.05</x:v>
      </x:c>
      <x:c r="H100" s="20" t="str">
        <x:v>VE05.05.01, VE05.05.02, VE05.05.03, VE05.05.04, VE05.05.05</x:v>
      </x:c>
      <x:c r="I100" s="20" t="str">
        <x:v>TE05.05.01, TE05.05.02, TE05.05.03, TE05.05.04, TE05.05.05, TE05.05.06, TE05.05.07</x:v>
      </x:c>
      <x:c r="J100" s="20" t="str">
        <x:v>SP 800-140 §6.5 / IG §10</x:v>
      </x:c>
      <x:c r="K100" s="20" t="str">
        <x:v>Software inventory, integrity mechanism, loading controls, and integrity tests</x:v>
      </x:c>
      <x:c r="L100" s="20" t="str">
        <x:v>Architecture review</x:v>
      </x:c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 ht="70" customHeight="1">
      <x:c r="A101" s="20" t="str">
        <x:v>AS05.06</x:v>
      </x:c>
      <x:c r="B101" s="20" t="str">
        <x:v>Software/firmware security</x:v>
      </x:c>
      <x:c r="C101" s="20" t="str">
        <x:v>boundary; module type; software integrity</x:v>
      </x:c>
      <x:c r="D101" s="20" t="str">
        <x:v>Not applicable</x:v>
      </x:c>
      <x:c r="E101" s="20" t="str">
        <x:v>Requirement covers software or firmware embedded within a hardware or disjoint hybrid component, not a pure-software module.</x:v>
      </x:c>
      <x:c r="F101" s="20" t="str">
        <x:v>ISO/IEC 19790:2012 §7.5</x:v>
      </x:c>
      <x:c r="G101" s="20" t="str">
        <x:v>ISO/IEC 24759:2017 §6.5, AS05.06</x:v>
      </x:c>
      <x:c r="H101" s="20" t="str">
        <x:v>VE05.06.01, VE05.06.02, VE05.06.03, VE05.06.04</x:v>
      </x:c>
      <x:c r="I101" s="20" t="str">
        <x:v>TE05.06.01, TE05.06.02, TE05.06.03, TE05.06.04, TE05.06.05, TE05.06.06</x:v>
      </x:c>
      <x:c r="J101" s="20" t="str">
        <x:v>SP 800-140 §6.5 / IG §10</x:v>
      </x:c>
      <x:c r="K101" s="20" t="str">
        <x:v>Software inventory, integrity mechanism, loading controls, and integrity tests</x:v>
      </x:c>
      <x:c r="L101" s="20" t="str">
        <x:v>Architecture review</x:v>
      </x:c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 ht="70" customHeight="1">
      <x:c r="A102" s="20" t="str">
        <x:v>AS05.07</x:v>
      </x:c>
      <x:c r="B102" s="20" t="str">
        <x:v>Software/firmware security</x:v>
      </x:c>
      <x:c r="C102" s="20" t="str">
        <x:v>software/firmware security</x:v>
      </x:c>
      <x:c r="D102" s="20" t="str">
        <x:v>Required</x:v>
      </x:c>
      <x:c r="E102" s="20" t="str">
        <x:v>Baseline Level 1 requirement for the proposed module, subject to the cited NIST modification or replacement.</x:v>
      </x:c>
      <x:c r="F102" s="20" t="str">
        <x:v>ISO/IEC 19790:2012 §7.5</x:v>
      </x:c>
      <x:c r="G102" s="20" t="str">
        <x:v>ISO/IEC 24759:2017 §6.5, AS05.07</x:v>
      </x:c>
      <x:c r="H102" s="20" t="str">
        <x:v>VE05.07.01</x:v>
      </x:c>
      <x:c r="I102" s="20" t="str">
        <x:v>TE05.07.01</x:v>
      </x:c>
      <x:c r="J102" s="20" t="str">
        <x:v>SP 800-140 §6.5 / IG §10</x:v>
      </x:c>
      <x:c r="K102" s="20" t="str">
        <x:v>Software inventory, integrity mechanism, loading controls, and integrity tests</x:v>
      </x:c>
      <x:c r="L102" s="20" t="str">
        <x:v>Architecture review</x:v>
      </x:c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 ht="70" customHeight="1">
      <x:c r="A103" s="20" t="str">
        <x:v>AS05.08</x:v>
      </x:c>
      <x:c r="B103" s="20" t="str">
        <x:v>Software/firmware security</x:v>
      </x:c>
      <x:c r="C103" s="20" t="str">
        <x:v>module type; software integrity; error state</x:v>
      </x:c>
      <x:c r="D103" s="20" t="str">
        <x:v>Required</x:v>
      </x:c>
      <x:c r="E103" s="20" t="str">
        <x:v>Baseline Level 1 requirement for the proposed module, subject to the cited NIST modification or replacement.</x:v>
      </x:c>
      <x:c r="F103" s="20" t="str">
        <x:v>ISO/IEC 19790:2012 §7.5</x:v>
      </x:c>
      <x:c r="G103" s="20" t="str">
        <x:v>ISO/IEC 24759:2017 §6.5, AS05.08</x:v>
      </x:c>
      <x:c r="H103" s="20" t="str">
        <x:v>VE05.08.01</x:v>
      </x:c>
      <x:c r="I103" s="20" t="str">
        <x:v>TE05.08.01, TE05.08.02</x:v>
      </x:c>
      <x:c r="J103" s="20" t="str">
        <x:v>SP 800-140 §6.5 / IG §10</x:v>
      </x:c>
      <x:c r="K103" s="20" t="str">
        <x:v>Software inventory, integrity mechanism, loading controls, and integrity tests</x:v>
      </x:c>
      <x:c r="L103" s="20" t="str">
        <x:v>Architecture review</x:v>
      </x:c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 ht="70" customHeight="1">
      <x:c r="A104" s="20" t="str">
        <x:v>AS05.09</x:v>
      </x:c>
      <x:c r="B104" s="20" t="str">
        <x:v>Software/firmware security</x:v>
      </x:c>
      <x:c r="C104" s="20" t="str">
        <x:v>authentication; software integrity; error state</x:v>
      </x:c>
      <x:c r="D104" s="20" t="str">
        <x:v>Conditional</x:v>
      </x:c>
      <x:c r="E104" s="20" t="str">
        <x:v>Level 1 permits implicit role assumption; this applies only if an authentication mechanism is implemented.</x:v>
      </x:c>
      <x:c r="F104" s="20" t="str">
        <x:v>ISO/IEC 19790:2012 §7.5</x:v>
      </x:c>
      <x:c r="G104" s="20" t="str">
        <x:v>ISO/IEC 24759:2017 §6.5, AS05.09</x:v>
      </x:c>
      <x:c r="H104" s="20" t="str">
        <x:v>—</x:v>
      </x:c>
      <x:c r="I104" s="20" t="str">
        <x:v>—</x:v>
      </x:c>
      <x:c r="J104" s="20" t="str">
        <x:v>SP 800-140 §6.5 / IG §10</x:v>
      </x:c>
      <x:c r="K104" s="20" t="str">
        <x:v>Software inventory, integrity mechanism, loading controls, and integrity tests</x:v>
      </x:c>
      <x:c r="L104" s="20" t="str">
        <x:v>Architecture review</x:v>
      </x:c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 ht="70" customHeight="1">
      <x:c r="A105" s="20" t="str">
        <x:v>AS05.10</x:v>
      </x:c>
      <x:c r="B105" s="20" t="str">
        <x:v>Software/firmware security</x:v>
      </x:c>
      <x:c r="C105" s="20" t="str">
        <x:v>software integrity; zeroisation</x:v>
      </x:c>
      <x:c r="D105" s="20" t="str">
        <x:v>Required</x:v>
      </x:c>
      <x:c r="E105" s="20" t="str">
        <x:v>Baseline Level 1 requirement for the proposed module, subject to the cited NIST modification or replacement.</x:v>
      </x:c>
      <x:c r="F105" s="20" t="str">
        <x:v>ISO/IEC 19790:2012 §7.5</x:v>
      </x:c>
      <x:c r="G105" s="20" t="str">
        <x:v>ISO/IEC 24759:2017 §6.5, AS05.10</x:v>
      </x:c>
      <x:c r="H105" s="20" t="str">
        <x:v>—</x:v>
      </x:c>
      <x:c r="I105" s="20" t="str">
        <x:v>—</x:v>
      </x:c>
      <x:c r="J105" s="20" t="str">
        <x:v>SP 800-140 §6.5 / IG §10</x:v>
      </x:c>
      <x:c r="K105" s="20" t="str">
        <x:v>Software inventory, integrity mechanism, loading controls, and integrity tests</x:v>
      </x:c>
      <x:c r="L105" s="20" t="str">
        <x:v>Architecture review</x:v>
      </x:c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 ht="70" customHeight="1">
      <x:c r="A106" s="20" t="str">
        <x:v>AS05.11</x:v>
      </x:c>
      <x:c r="B106" s="20" t="str">
        <x:v>Software/firmware security</x:v>
      </x:c>
      <x:c r="C106" s="20" t="str">
        <x:v>services; software integrity</x:v>
      </x:c>
      <x:c r="D106" s="20" t="str">
        <x:v>Required</x:v>
      </x:c>
      <x:c r="E106" s="20" t="str">
        <x:v>Baseline Level 1 requirement for the proposed module, subject to the cited NIST modification or replacement.</x:v>
      </x:c>
      <x:c r="F106" s="20" t="str">
        <x:v>ISO/IEC 19790:2012 §7.5</x:v>
      </x:c>
      <x:c r="G106" s="20" t="str">
        <x:v>ISO/IEC 24759:2017 §6.5, AS05.11</x:v>
      </x:c>
      <x:c r="H106" s="20" t="str">
        <x:v>VE05.11.01</x:v>
      </x:c>
      <x:c r="I106" s="20" t="str">
        <x:v>TE05.11.01, TE05.11.02</x:v>
      </x:c>
      <x:c r="J106" s="20" t="str">
        <x:v>SP 800-140 §6.5 / IG §10</x:v>
      </x:c>
      <x:c r="K106" s="20" t="str">
        <x:v>Software inventory, integrity mechanism, loading controls, and integrity tests</x:v>
      </x:c>
      <x:c r="L106" s="20" t="str">
        <x:v>Architecture review</x:v>
      </x:c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 ht="70" customHeight="1">
      <x:c r="A107" s="20" t="str">
        <x:v>AS05.12</x:v>
      </x:c>
      <x:c r="B107" s="20" t="str">
        <x:v>Software/firmware security</x:v>
      </x:c>
      <x:c r="C107" s="20" t="str">
        <x:v>status; services</x:v>
      </x:c>
      <x:c r="D107" s="20" t="str">
        <x:v>Required</x:v>
      </x:c>
      <x:c r="E107" s="20" t="str">
        <x:v>Baseline Level 1 requirement for the proposed module, subject to the cited NIST modification or replacement.</x:v>
      </x:c>
      <x:c r="F107" s="20" t="str">
        <x:v>ISO/IEC 19790:2012 §7.5</x:v>
      </x:c>
      <x:c r="G107" s="20" t="str">
        <x:v>ISO/IEC 24759:2017 §6.5, AS05.12</x:v>
      </x:c>
      <x:c r="H107" s="20" t="str">
        <x:v>VE05.12.01</x:v>
      </x:c>
      <x:c r="I107" s="20" t="str">
        <x:v>TE05.12.01, TE05.12.02</x:v>
      </x:c>
      <x:c r="J107" s="20" t="str">
        <x:v>SP 800-140 §6.5 / IG §10</x:v>
      </x:c>
      <x:c r="K107" s="20" t="str">
        <x:v>Software inventory, integrity mechanism, loading controls, and integrity tests</x:v>
      </x:c>
      <x:c r="L107" s="20" t="str">
        <x:v>Architecture review</x:v>
      </x:c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 ht="70" customHeight="1">
      <x:c r="A108" s="20" t="str">
        <x:v>AS05.13</x:v>
      </x:c>
      <x:c r="B108" s="20" t="str">
        <x:v>Software/firmware security</x:v>
      </x:c>
      <x:c r="C108" s="20" t="str">
        <x:v>module type; software loading</x:v>
      </x:c>
      <x:c r="D108" s="20" t="str">
        <x:v>Required</x:v>
      </x:c>
      <x:c r="E108" s="20" t="str">
        <x:v>Baseline Level 1 requirement for the proposed module, subject to the cited NIST modification or replacement.</x:v>
      </x:c>
      <x:c r="F108" s="20" t="str">
        <x:v>ISO/IEC 19790:2012 §7.5</x:v>
      </x:c>
      <x:c r="G108" s="20" t="str">
        <x:v>ISO/IEC 24759:2017 §6.5, AS05.13</x:v>
      </x:c>
      <x:c r="H108" s="20" t="str">
        <x:v>VE05.13.01, VE05.13.02</x:v>
      </x:c>
      <x:c r="I108" s="20" t="str">
        <x:v>TE05.13.01, TE05.13.02, TE05.13.03, TE05.13.04, TE05.13.05, TE05.13.06, TE05.13.07, TE05.13.08</x:v>
      </x:c>
      <x:c r="J108" s="20" t="str">
        <x:v>SP 800-140 §6.5 / IG §10</x:v>
      </x:c>
      <x:c r="K108" s="20" t="str">
        <x:v>Software inventory, integrity mechanism, loading controls, and integrity tests</x:v>
      </x:c>
      <x:c r="L108" s="20" t="str">
        <x:v>Architecture review</x:v>
      </x:c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 ht="70" customHeight="1">
      <x:c r="A109" s="20" t="str">
        <x:v>AS06.01</x:v>
      </x:c>
      <x:c r="B109" s="20" t="str">
        <x:v>Operational environment</x:v>
      </x:c>
      <x:c r="C109" s="20" t="str">
        <x:v>operational environment</x:v>
      </x:c>
      <x:c r="D109" s="20" t="str">
        <x:v>Required</x:v>
      </x:c>
      <x:c r="E109" s="20" t="str">
        <x:v>Baseline Level 1 requirement for the proposed module, subject to the cited NIST modification or replacement.</x:v>
      </x:c>
      <x:c r="F109" s="20" t="str">
        <x:v>ISO/IEC 19790:2012 §7.6</x:v>
      </x:c>
      <x:c r="G109" s="20" t="str">
        <x:v>ISO/IEC 24759:2017 §6.6, AS06.01</x:v>
      </x:c>
      <x:c r="H109" s="20" t="str">
        <x:v>—</x:v>
      </x:c>
      <x:c r="I109" s="20" t="str">
        <x:v>—</x:v>
      </x:c>
      <x:c r="J109" s="20" t="str">
        <x:v>SP 800-140 §6.6 / IG §9.5.A</x:v>
      </x:c>
      <x:c r="K109" s="20" t="str">
        <x:v>OE classification, process isolation, per-instance SSP control, and enforced restrictions</x:v>
      </x:c>
      <x:c r="L109" s="20" t="str">
        <x:v>Architecture review</x:v>
      </x:c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 ht="70" customHeight="1">
      <x:c r="A110" s="20" t="str">
        <x:v>AS06.02</x:v>
      </x:c>
      <x:c r="B110" s="20" t="str">
        <x:v>Operational environment</x:v>
      </x:c>
      <x:c r="C110" s="20" t="str">
        <x:v>operational environment</x:v>
      </x:c>
      <x:c r="D110" s="20" t="str">
        <x:v>Required</x:v>
      </x:c>
      <x:c r="E110" s="20" t="str">
        <x:v>Baseline Level 1 requirement for the proposed module, subject to the cited NIST modification or replacement.</x:v>
      </x:c>
      <x:c r="F110" s="20" t="str">
        <x:v>ISO/IEC 19790:2012 §7.6</x:v>
      </x:c>
      <x:c r="G110" s="20" t="str">
        <x:v>ISO/IEC 24759:2017 §6.6, AS06.02</x:v>
      </x:c>
      <x:c r="H110" s="20" t="str">
        <x:v>—</x:v>
      </x:c>
      <x:c r="I110" s="20" t="str">
        <x:v>—</x:v>
      </x:c>
      <x:c r="J110" s="20" t="str">
        <x:v>SP 800-140 §6.6 / IG §9.5.A</x:v>
      </x:c>
      <x:c r="K110" s="20" t="str">
        <x:v>OE classification, process isolation, per-instance SSP control, and enforced restrictions</x:v>
      </x:c>
      <x:c r="L110" s="20" t="str">
        <x:v>Architecture review</x:v>
      </x:c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 ht="70" customHeight="1">
      <x:c r="A111" s="20" t="str">
        <x:v>AS06.03</x:v>
      </x:c>
      <x:c r="B111" s="20" t="str">
        <x:v>Operational environment</x:v>
      </x:c>
      <x:c r="C111" s="20" t="str">
        <x:v>operational environment</x:v>
      </x:c>
      <x:c r="D111" s="20" t="str">
        <x:v>Required</x:v>
      </x:c>
      <x:c r="E111" s="20" t="str">
        <x:v>Baseline Level 1 requirement for the proposed module, subject to the cited NIST modification or replacement.</x:v>
      </x:c>
      <x:c r="F111" s="20" t="str">
        <x:v>ISO/IEC 19790:2012 §7.6</x:v>
      </x:c>
      <x:c r="G111" s="20" t="str">
        <x:v>ISO/IEC 24759:2017 §6.6, AS06.03</x:v>
      </x:c>
      <x:c r="H111" s="20" t="str">
        <x:v>VE06.03.01</x:v>
      </x:c>
      <x:c r="I111" s="20" t="str">
        <x:v>TE06.03.01</x:v>
      </x:c>
      <x:c r="J111" s="20" t="str">
        <x:v>SP 800-140 §6.6 / IG §9.5.A</x:v>
      </x:c>
      <x:c r="K111" s="20" t="str">
        <x:v>OE classification, process isolation, per-instance SSP control, and enforced restrictions</x:v>
      </x:c>
      <x:c r="L111" s="20" t="str">
        <x:v>Architecture review</x:v>
      </x:c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 ht="70" customHeight="1">
      <x:c r="A112" s="20" t="str">
        <x:v>AS06.04</x:v>
      </x:c>
      <x:c r="B112" s="20" t="str">
        <x:v>Operational environment</x:v>
      </x:c>
      <x:c r="C112" s="20" t="str">
        <x:v>operational environment</x:v>
      </x:c>
      <x:c r="D112" s="20" t="str">
        <x:v>Required</x:v>
      </x:c>
      <x:c r="E112" s="20" t="str">
        <x:v>Baseline Level 1 requirement for the proposed module, subject to the cited NIST modification or replacement.</x:v>
      </x:c>
      <x:c r="F112" s="20" t="str">
        <x:v>ISO/IEC 19790:2012 §7.6</x:v>
      </x:c>
      <x:c r="G112" s="20" t="str">
        <x:v>ISO/IEC 24759:2017 §6.6, AS06.04</x:v>
      </x:c>
      <x:c r="H112" s="20" t="str">
        <x:v>—</x:v>
      </x:c>
      <x:c r="I112" s="20" t="str">
        <x:v>—</x:v>
      </x:c>
      <x:c r="J112" s="20" t="str">
        <x:v>SP 800-140 §6.6 / IG §9.5.A</x:v>
      </x:c>
      <x:c r="K112" s="20" t="str">
        <x:v>OE classification, process isolation, per-instance SSP control, and enforced restrictions</x:v>
      </x:c>
      <x:c r="L112" s="20" t="str">
        <x:v>Architecture review</x:v>
      </x:c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 ht="70" customHeight="1">
      <x:c r="A113" s="20" t="str">
        <x:v>AS06.05</x:v>
      </x:c>
      <x:c r="B113" s="20" t="str">
        <x:v>Operational environment</x:v>
      </x:c>
      <x:c r="C113" s="20" t="str">
        <x:v>operational environment</x:v>
      </x:c>
      <x:c r="D113" s="20" t="str">
        <x:v>Required</x:v>
      </x:c>
      <x:c r="E113" s="20" t="str">
        <x:v>Baseline Level 1 requirement for the proposed module, subject to the cited NIST modification or replacement.</x:v>
      </x:c>
      <x:c r="F113" s="20" t="str">
        <x:v>ISO/IEC 19790:2012 §7.6</x:v>
      </x:c>
      <x:c r="G113" s="20" t="str">
        <x:v>ISO/IEC 24759:2017 §6.6, AS06.05</x:v>
      </x:c>
      <x:c r="H113" s="20" t="str">
        <x:v>VE06.05.01</x:v>
      </x:c>
      <x:c r="I113" s="20" t="str">
        <x:v>TE06.05.01, TE06.05.02, TE06.05.03</x:v>
      </x:c>
      <x:c r="J113" s="20" t="str">
        <x:v>SP 800-140 §6.6 / IG §9.5.A</x:v>
      </x:c>
      <x:c r="K113" s="20" t="str">
        <x:v>OE classification, process isolation, per-instance SSP control, and enforced restrictions</x:v>
      </x:c>
      <x:c r="L113" s="20" t="str">
        <x:v>Architecture review</x:v>
      </x:c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 ht="70" customHeight="1">
      <x:c r="A114" s="20" t="str">
        <x:v>AS06.06</x:v>
      </x:c>
      <x:c r="B114" s="20" t="str">
        <x:v>Operational environment</x:v>
      </x:c>
      <x:c r="C114" s="20" t="str">
        <x:v>operational environment</x:v>
      </x:c>
      <x:c r="D114" s="20" t="str">
        <x:v>Required</x:v>
      </x:c>
      <x:c r="E114" s="20" t="str">
        <x:v>Baseline Level 1 requirement for the proposed module, subject to the cited NIST modification or replacement.</x:v>
      </x:c>
      <x:c r="F114" s="20" t="str">
        <x:v>ISO/IEC 19790:2012 §7.6</x:v>
      </x:c>
      <x:c r="G114" s="20" t="str">
        <x:v>ISO/IEC 24759:2017 §6.6, AS06.06</x:v>
      </x:c>
      <x:c r="H114" s="20" t="str">
        <x:v>VE06.06.01</x:v>
      </x:c>
      <x:c r="I114" s="20" t="str">
        <x:v>TE06.06.01, TE06.06.02</x:v>
      </x:c>
      <x:c r="J114" s="20" t="str">
        <x:v>SP 800-140 §6.6 / IG §9.5.A</x:v>
      </x:c>
      <x:c r="K114" s="20" t="str">
        <x:v>OE classification, process isolation, per-instance SSP control, and enforced restrictions</x:v>
      </x:c>
      <x:c r="L114" s="20" t="str">
        <x:v>Architecture review</x:v>
      </x:c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 ht="70" customHeight="1">
      <x:c r="A115" s="20" t="str">
        <x:v>AS06.07</x:v>
      </x:c>
      <x:c r="B115" s="20" t="str">
        <x:v>Operational environment</x:v>
      </x:c>
      <x:c r="C115" s="20" t="str">
        <x:v>operational environment</x:v>
      </x:c>
      <x:c r="D115" s="20" t="str">
        <x:v>Required</x:v>
      </x:c>
      <x:c r="E115" s="20" t="str">
        <x:v>Baseline Level 1 requirement for the proposed module, subject to the cited NIST modification or replacement.</x:v>
      </x:c>
      <x:c r="F115" s="20" t="str">
        <x:v>ISO/IEC 19790:2012 §7.6</x:v>
      </x:c>
      <x:c r="G115" s="20" t="str">
        <x:v>ISO/IEC 24759:2017 §6.6, AS06.07</x:v>
      </x:c>
      <x:c r="H115" s="20" t="str">
        <x:v>VE06.07.01</x:v>
      </x:c>
      <x:c r="I115" s="20" t="str">
        <x:v>TE06.07.01</x:v>
      </x:c>
      <x:c r="J115" s="20" t="str">
        <x:v>SP 800-140 §6.6 / IG §9.5.A</x:v>
      </x:c>
      <x:c r="K115" s="20" t="str">
        <x:v>OE classification, process isolation, per-instance SSP control, and enforced restrictions</x:v>
      </x:c>
      <x:c r="L115" s="20" t="str">
        <x:v>Architecture review</x:v>
      </x:c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 ht="70" customHeight="1">
      <x:c r="A116" s="20" t="str">
        <x:v>AS06.08</x:v>
      </x:c>
      <x:c r="B116" s="20" t="str">
        <x:v>Operational environment</x:v>
      </x:c>
      <x:c r="C116" s="20" t="str">
        <x:v>operational environment</x:v>
      </x:c>
      <x:c r="D116" s="20" t="str">
        <x:v>Required</x:v>
      </x:c>
      <x:c r="E116" s="20" t="str">
        <x:v>Baseline Level 1 requirement for the proposed module, subject to the cited NIST modification or replacement.</x:v>
      </x:c>
      <x:c r="F116" s="20" t="str">
        <x:v>ISO/IEC 19790:2012 §7.6</x:v>
      </x:c>
      <x:c r="G116" s="20" t="str">
        <x:v>ISO/IEC 24759:2017 §6.6, AS06.08</x:v>
      </x:c>
      <x:c r="H116" s="20" t="str">
        <x:v>VE06.08.01</x:v>
      </x:c>
      <x:c r="I116" s="20" t="str">
        <x:v>TE06.08.01, TE06.08.02, TE06.08.03</x:v>
      </x:c>
      <x:c r="J116" s="20" t="str">
        <x:v>SP 800-140 §6.6 / IG §9.5.A</x:v>
      </x:c>
      <x:c r="K116" s="20" t="str">
        <x:v>OE classification, process isolation, per-instance SSP control, and enforced restrictions</x:v>
      </x:c>
      <x:c r="L116" s="20" t="str">
        <x:v>Architecture review</x:v>
      </x:c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 ht="70" customHeight="1">
      <x:c r="A117" s="20" t="str">
        <x:v>AS07.01</x:v>
      </x:c>
      <x:c r="B117" s="20" t="str">
        <x:v>Physical security</x:v>
      </x:c>
      <x:c r="C117" s="20" t="str">
        <x:v>physical security</x:v>
      </x:c>
      <x:c r="D117" s="20" t="str">
        <x:v>Not applicable</x:v>
      </x:c>
      <x:c r="E117" s="20" t="str">
        <x:v>ISO/IEC 19790 §7.7.1 exempts a module implemented completely in software from §7.7 physical-security requirements.</x:v>
      </x:c>
      <x:c r="F117" s="20" t="str">
        <x:v>ISO/IEC 19790:2012 §7.7</x:v>
      </x:c>
      <x:c r="G117" s="20" t="str">
        <x:v>ISO/IEC 24759:2017 §6.7, AS07.01</x:v>
      </x:c>
      <x:c r="H117" s="20" t="str">
        <x:v>VE07.01.01</x:v>
      </x:c>
      <x:c r="I117" s="20" t="str">
        <x:v>TE07.01.01, TE07.01.02</x:v>
      </x:c>
      <x:c r="J117" s="20" t="str">
        <x:v>SP 800-140 §6.7</x:v>
      </x:c>
      <x:c r="K117" s="20" t="str">
        <x:v>Pure-software exemption rationale tied to the tested platform perimeter</x:v>
      </x:c>
      <x:c r="L117" s="20" t="str">
        <x:v>Architecture review</x:v>
      </x:c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 ht="70" customHeight="1">
      <x:c r="A118" s="20" t="str">
        <x:v>AS07.02</x:v>
      </x:c>
      <x:c r="B118" s="20" t="str">
        <x:v>Physical security</x:v>
      </x:c>
      <x:c r="C118" s="20" t="str">
        <x:v>boundary</x:v>
      </x:c>
      <x:c r="D118" s="20" t="str">
        <x:v>Not applicable</x:v>
      </x:c>
      <x:c r="E118" s="20" t="str">
        <x:v>ISO/IEC 19790 §7.7.1 exempts a module implemented completely in software from §7.7 physical-security requirements.</x:v>
      </x:c>
      <x:c r="F118" s="20" t="str">
        <x:v>ISO/IEC 19790:2012 §7.7</x:v>
      </x:c>
      <x:c r="G118" s="20" t="str">
        <x:v>ISO/IEC 24759:2017 §6.7, AS07.02</x:v>
      </x:c>
      <x:c r="H118" s="20" t="str">
        <x:v>—</x:v>
      </x:c>
      <x:c r="I118" s="20" t="str">
        <x:v>—</x:v>
      </x:c>
      <x:c r="J118" s="20" t="str">
        <x:v>SP 800-140 §6.7</x:v>
      </x:c>
      <x:c r="K118" s="20" t="str">
        <x:v>Pure-software exemption rationale tied to the tested platform perimeter</x:v>
      </x:c>
      <x:c r="L118" s="20" t="str">
        <x:v>Architecture review</x:v>
      </x:c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 ht="70" customHeight="1">
      <x:c r="A119" s="20" t="str">
        <x:v>AS07.03</x:v>
      </x:c>
      <x:c r="B119" s="20" t="str">
        <x:v>Physical security</x:v>
      </x:c>
      <x:c r="C119" s="20" t="str">
        <x:v>module type</x:v>
      </x:c>
      <x:c r="D119" s="20" t="str">
        <x:v>Not applicable</x:v>
      </x:c>
      <x:c r="E119" s="20" t="str">
        <x:v>ISO/IEC 19790 §7.7.1 exempts a module implemented completely in software from §7.7 physical-security requirements.</x:v>
      </x:c>
      <x:c r="F119" s="20" t="str">
        <x:v>ISO/IEC 19790:2012 §7.7</x:v>
      </x:c>
      <x:c r="G119" s="20" t="str">
        <x:v>ISO/IEC 24759:2017 §6.7, AS07.03</x:v>
      </x:c>
      <x:c r="H119" s="20" t="str">
        <x:v>—</x:v>
      </x:c>
      <x:c r="I119" s="20" t="str">
        <x:v>—</x:v>
      </x:c>
      <x:c r="J119" s="20" t="str">
        <x:v>SP 800-140 §6.7</x:v>
      </x:c>
      <x:c r="K119" s="20" t="str">
        <x:v>Pure-software exemption rationale tied to the tested platform perimeter</x:v>
      </x:c>
      <x:c r="L119" s="20" t="str">
        <x:v>Architecture review</x:v>
      </x:c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 ht="70" customHeight="1">
      <x:c r="A120" s="20" t="str">
        <x:v>AS07.04</x:v>
      </x:c>
      <x:c r="B120" s="20" t="str">
        <x:v>Physical security</x:v>
      </x:c>
      <x:c r="C120" s="20" t="str">
        <x:v>boundary</x:v>
      </x:c>
      <x:c r="D120" s="20" t="str">
        <x:v>Not applicable</x:v>
      </x:c>
      <x:c r="E120" s="20" t="str">
        <x:v>ISO/IEC 19790 §7.7.1 exempts a module implemented completely in software from §7.7 physical-security requirements.</x:v>
      </x:c>
      <x:c r="F120" s="20" t="str">
        <x:v>ISO/IEC 19790:2012 §7.7</x:v>
      </x:c>
      <x:c r="G120" s="20" t="str">
        <x:v>ISO/IEC 24759:2017 §6.7, AS07.04</x:v>
      </x:c>
      <x:c r="H120" s="20" t="str">
        <x:v>—</x:v>
      </x:c>
      <x:c r="I120" s="20" t="str">
        <x:v>—</x:v>
      </x:c>
      <x:c r="J120" s="20" t="str">
        <x:v>SP 800-140 §6.7</x:v>
      </x:c>
      <x:c r="K120" s="20" t="str">
        <x:v>Pure-software exemption rationale tied to the tested platform perimeter</x:v>
      </x:c>
      <x:c r="L120" s="20" t="str">
        <x:v>Architecture review</x:v>
      </x:c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 ht="70" customHeight="1">
      <x:c r="A121" s="20" t="str">
        <x:v>AS07.05</x:v>
      </x:c>
      <x:c r="B121" s="20" t="str">
        <x:v>Physical security</x:v>
      </x:c>
      <x:c r="C121" s="20" t="str">
        <x:v>physical security</x:v>
      </x:c>
      <x:c r="D121" s="20" t="str">
        <x:v>Not applicable</x:v>
      </x:c>
      <x:c r="E121" s="20" t="str">
        <x:v>ISO/IEC 19790 §7.7.1 exempts a module implemented completely in software from §7.7 physical-security requirements.</x:v>
      </x:c>
      <x:c r="F121" s="20" t="str">
        <x:v>ISO/IEC 19790:2012 §7.7</x:v>
      </x:c>
      <x:c r="G121" s="20" t="str">
        <x:v>ISO/IEC 24759:2017 §6.7, AS07.05</x:v>
      </x:c>
      <x:c r="H121" s="20" t="str">
        <x:v>—</x:v>
      </x:c>
      <x:c r="I121" s="20" t="str">
        <x:v>—</x:v>
      </x:c>
      <x:c r="J121" s="20" t="str">
        <x:v>SP 800-140 §6.7</x:v>
      </x:c>
      <x:c r="K121" s="20" t="str">
        <x:v>Pure-software exemption rationale tied to the tested platform perimeter</x:v>
      </x:c>
      <x:c r="L121" s="20" t="str">
        <x:v>Architecture review</x:v>
      </x:c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 ht="70" customHeight="1">
      <x:c r="A122" s="20" t="str">
        <x:v>AS07.06</x:v>
      </x:c>
      <x:c r="B122" s="20" t="str">
        <x:v>Physical security</x:v>
      </x:c>
      <x:c r="C122" s="20" t="str">
        <x:v>physical security</x:v>
      </x:c>
      <x:c r="D122" s="20" t="str">
        <x:v>Not applicable</x:v>
      </x:c>
      <x:c r="E122" s="20" t="str">
        <x:v>ISO/IEC 19790 §7.7.1 exempts a module implemented completely in software from §7.7 physical-security requirements.</x:v>
      </x:c>
      <x:c r="F122" s="20" t="str">
        <x:v>ISO/IEC 19790:2012 §7.7</x:v>
      </x:c>
      <x:c r="G122" s="20" t="str">
        <x:v>ISO/IEC 24759:2017 §6.7, AS07.06</x:v>
      </x:c>
      <x:c r="H122" s="20" t="str">
        <x:v>—</x:v>
      </x:c>
      <x:c r="I122" s="20" t="str">
        <x:v>—</x:v>
      </x:c>
      <x:c r="J122" s="20" t="str">
        <x:v>SP 800-140 §6.7</x:v>
      </x:c>
      <x:c r="K122" s="20" t="str">
        <x:v>Pure-software exemption rationale tied to the tested platform perimeter</x:v>
      </x:c>
      <x:c r="L122" s="20" t="str">
        <x:v>Architecture review</x:v>
      </x:c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 ht="70" customHeight="1">
      <x:c r="A123" s="20" t="str">
        <x:v>AS07.07</x:v>
      </x:c>
      <x:c r="B123" s="20" t="str">
        <x:v>Physical security</x:v>
      </x:c>
      <x:c r="C123" s="20" t="str">
        <x:v>physical security</x:v>
      </x:c>
      <x:c r="D123" s="20" t="str">
        <x:v>Not applicable</x:v>
      </x:c>
      <x:c r="E123" s="20" t="str">
        <x:v>ISO/IEC 19790 §7.7.1 exempts a module implemented completely in software from §7.7 physical-security requirements.</x:v>
      </x:c>
      <x:c r="F123" s="20" t="str">
        <x:v>ISO/IEC 19790:2012 §7.7</x:v>
      </x:c>
      <x:c r="G123" s="20" t="str">
        <x:v>ISO/IEC 24759:2017 §6.7, AS07.07</x:v>
      </x:c>
      <x:c r="H123" s="20" t="str">
        <x:v>—</x:v>
      </x:c>
      <x:c r="I123" s="20" t="str">
        <x:v>—</x:v>
      </x:c>
      <x:c r="J123" s="20" t="str">
        <x:v>SP 800-140 §6.7</x:v>
      </x:c>
      <x:c r="K123" s="20" t="str">
        <x:v>Pure-software exemption rationale tied to the tested platform perimeter</x:v>
      </x:c>
      <x:c r="L123" s="20" t="str">
        <x:v>Architecture review</x:v>
      </x:c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 ht="70" customHeight="1">
      <x:c r="A124" s="20" t="str">
        <x:v>AS07.08</x:v>
      </x:c>
      <x:c r="B124" s="20" t="str">
        <x:v>Physical security</x:v>
      </x:c>
      <x:c r="C124" s="20" t="str">
        <x:v>physical security</x:v>
      </x:c>
      <x:c r="D124" s="20" t="str">
        <x:v>Not applicable</x:v>
      </x:c>
      <x:c r="E124" s="20" t="str">
        <x:v>ISO/IEC 19790 §7.7.1 exempts a module implemented completely in software from §7.7 physical-security requirements.</x:v>
      </x:c>
      <x:c r="F124" s="20" t="str">
        <x:v>ISO/IEC 19790:2012 §7.7</x:v>
      </x:c>
      <x:c r="G124" s="20" t="str">
        <x:v>ISO/IEC 24759:2017 §6.7, AS07.08</x:v>
      </x:c>
      <x:c r="H124" s="20" t="str">
        <x:v>—</x:v>
      </x:c>
      <x:c r="I124" s="20" t="str">
        <x:v>—</x:v>
      </x:c>
      <x:c r="J124" s="20" t="str">
        <x:v>SP 800-140 §6.7</x:v>
      </x:c>
      <x:c r="K124" s="20" t="str">
        <x:v>Pure-software exemption rationale tied to the tested platform perimeter</x:v>
      </x:c>
      <x:c r="L124" s="20" t="str">
        <x:v>Architecture review</x:v>
      </x:c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 ht="70" customHeight="1">
      <x:c r="A125" s="20" t="str">
        <x:v>AS07.09</x:v>
      </x:c>
      <x:c r="B125" s="20" t="str">
        <x:v>Physical security</x:v>
      </x:c>
      <x:c r="C125" s="20" t="str">
        <x:v>physical security</x:v>
      </x:c>
      <x:c r="D125" s="20" t="str">
        <x:v>Not applicable</x:v>
      </x:c>
      <x:c r="E125" s="20" t="str">
        <x:v>ISO/IEC 19790 §7.7.1 exempts a module implemented completely in software from §7.7 physical-security requirements.</x:v>
      </x:c>
      <x:c r="F125" s="20" t="str">
        <x:v>ISO/IEC 19790:2012 §7.7</x:v>
      </x:c>
      <x:c r="G125" s="20" t="str">
        <x:v>ISO/IEC 24759:2017 §6.7, AS07.09</x:v>
      </x:c>
      <x:c r="H125" s="20" t="str">
        <x:v>VE07.09.01</x:v>
      </x:c>
      <x:c r="I125" s="20" t="str">
        <x:v>TE07.09.01, TE07.09.02</x:v>
      </x:c>
      <x:c r="J125" s="20" t="str">
        <x:v>SP 800-140 §6.7</x:v>
      </x:c>
      <x:c r="K125" s="20" t="str">
        <x:v>Pure-software exemption rationale tied to the tested platform perimeter</x:v>
      </x:c>
      <x:c r="L125" s="20" t="str">
        <x:v>Architecture review</x:v>
      </x:c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 ht="70" customHeight="1">
      <x:c r="A126" s="20" t="str">
        <x:v>AS07.10</x:v>
      </x:c>
      <x:c r="B126" s="20" t="str">
        <x:v>Physical security</x:v>
      </x:c>
      <x:c r="C126" s="20" t="str">
        <x:v>zeroisation</x:v>
      </x:c>
      <x:c r="D126" s="20" t="str">
        <x:v>Not applicable</x:v>
      </x:c>
      <x:c r="E126" s="20" t="str">
        <x:v>ISO/IEC 19790 §7.7.1 exempts a module implemented completely in software from §7.7 physical-security requirements.</x:v>
      </x:c>
      <x:c r="F126" s="20" t="str">
        <x:v>ISO/IEC 19790:2012 §7.7</x:v>
      </x:c>
      <x:c r="G126" s="20" t="str">
        <x:v>ISO/IEC 24759:2017 §6.7, AS07.10</x:v>
      </x:c>
      <x:c r="H126" s="20" t="str">
        <x:v>VE07.10.01</x:v>
      </x:c>
      <x:c r="I126" s="20" t="str">
        <x:v>TE07.10.01, TE07.10.02</x:v>
      </x:c>
      <x:c r="J126" s="20" t="str">
        <x:v>SP 800-140 §6.7</x:v>
      </x:c>
      <x:c r="K126" s="20" t="str">
        <x:v>Pure-software exemption rationale tied to the tested platform perimeter</x:v>
      </x:c>
      <x:c r="L126" s="20" t="str">
        <x:v>Architecture review</x:v>
      </x:c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 ht="70" customHeight="1">
      <x:c r="A127" s="20" t="str">
        <x:v>AS07.11</x:v>
      </x:c>
      <x:c r="B127" s="20" t="str">
        <x:v>Physical security</x:v>
      </x:c>
      <x:c r="C127" s="20" t="str">
        <x:v>interfaces; roles</x:v>
      </x:c>
      <x:c r="D127" s="20" t="str">
        <x:v>Not applicable</x:v>
      </x:c>
      <x:c r="E127" s="20" t="str">
        <x:v>ISO/IEC 19790 §7.7.1 exempts a module implemented completely in software from §7.7 physical-security requirements.</x:v>
      </x:c>
      <x:c r="F127" s="20" t="str">
        <x:v>ISO/IEC 19790:2012 §7.7</x:v>
      </x:c>
      <x:c r="G127" s="20" t="str">
        <x:v>ISO/IEC 24759:2017 §6.7, AS07.11</x:v>
      </x:c>
      <x:c r="H127" s="20" t="str">
        <x:v>VE07.11.01</x:v>
      </x:c>
      <x:c r="I127" s="20" t="str">
        <x:v>TE07.11.01, TE07.11.02</x:v>
      </x:c>
      <x:c r="J127" s="20" t="str">
        <x:v>SP 800-140 §6.7</x:v>
      </x:c>
      <x:c r="K127" s="20" t="str">
        <x:v>Pure-software exemption rationale tied to the tested platform perimeter</x:v>
      </x:c>
      <x:c r="L127" s="20" t="str">
        <x:v>Architecture review</x:v>
      </x:c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 ht="70" customHeight="1">
      <x:c r="A128" s="20" t="str">
        <x:v>AS07.12</x:v>
      </x:c>
      <x:c r="B128" s="20" t="str">
        <x:v>Physical security</x:v>
      </x:c>
      <x:c r="C128" s="20" t="str">
        <x:v>interfaces; roles</x:v>
      </x:c>
      <x:c r="D128" s="20" t="str">
        <x:v>Not applicable</x:v>
      </x:c>
      <x:c r="E128" s="20" t="str">
        <x:v>ISO/IEC 19790 §7.7.1 exempts a module implemented completely in software from §7.7 physical-security requirements.</x:v>
      </x:c>
      <x:c r="F128" s="20" t="str">
        <x:v>ISO/IEC 19790:2012 §7.7</x:v>
      </x:c>
      <x:c r="G128" s="20" t="str">
        <x:v>ISO/IEC 24759:2017 §6.7, AS07.12</x:v>
      </x:c>
      <x:c r="H128" s="20" t="str">
        <x:v>VE07.12.01</x:v>
      </x:c>
      <x:c r="I128" s="20" t="str">
        <x:v>TE07.12.01</x:v>
      </x:c>
      <x:c r="J128" s="20" t="str">
        <x:v>SP 800-140 §6.7</x:v>
      </x:c>
      <x:c r="K128" s="20" t="str">
        <x:v>Pure-software exemption rationale tied to the tested platform perimeter</x:v>
      </x:c>
      <x:c r="L128" s="20" t="str">
        <x:v>Architecture review</x:v>
      </x:c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 ht="70" customHeight="1">
      <x:c r="A129" s="20" t="str">
        <x:v>AS07.13</x:v>
      </x:c>
      <x:c r="B129" s="20" t="str">
        <x:v>Physical security</x:v>
      </x:c>
      <x:c r="C129" s="20" t="str">
        <x:v>interfaces; roles</x:v>
      </x:c>
      <x:c r="D129" s="20" t="str">
        <x:v>Not applicable</x:v>
      </x:c>
      <x:c r="E129" s="20" t="str">
        <x:v>ISO/IEC 19790 §7.7.1 exempts a module implemented completely in software from §7.7 physical-security requirements.</x:v>
      </x:c>
      <x:c r="F129" s="20" t="str">
        <x:v>ISO/IEC 19790:2012 §7.7</x:v>
      </x:c>
      <x:c r="G129" s="20" t="str">
        <x:v>ISO/IEC 24759:2017 §6.7, AS07.13</x:v>
      </x:c>
      <x:c r="H129" s="20" t="str">
        <x:v>VE07.13.01</x:v>
      </x:c>
      <x:c r="I129" s="20" t="str">
        <x:v>TE07.13.01</x:v>
      </x:c>
      <x:c r="J129" s="20" t="str">
        <x:v>SP 800-140 §6.7</x:v>
      </x:c>
      <x:c r="K129" s="20" t="str">
        <x:v>Pure-software exemption rationale tied to the tested platform perimeter</x:v>
      </x:c>
      <x:c r="L129" s="20" t="str">
        <x:v>Architecture review</x:v>
      </x:c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 ht="70" customHeight="1">
      <x:c r="A130" s="20" t="str">
        <x:v>AS07.14</x:v>
      </x:c>
      <x:c r="B130" s="20" t="str">
        <x:v>Physical security</x:v>
      </x:c>
      <x:c r="C130" s="20" t="str">
        <x:v>physical security</x:v>
      </x:c>
      <x:c r="D130" s="20" t="str">
        <x:v>Not applicable</x:v>
      </x:c>
      <x:c r="E130" s="20" t="str">
        <x:v>ISO/IEC 19790 §7.7.1 exempts a module implemented completely in software from §7.7 physical-security requirements.</x:v>
      </x:c>
      <x:c r="F130" s="20" t="str">
        <x:v>ISO/IEC 19790:2012 §7.7</x:v>
      </x:c>
      <x:c r="G130" s="20" t="str">
        <x:v>ISO/IEC 24759:2017 §6.7, AS07.14</x:v>
      </x:c>
      <x:c r="H130" s="20" t="str">
        <x:v>—</x:v>
      </x:c>
      <x:c r="I130" s="20" t="str">
        <x:v>—</x:v>
      </x:c>
      <x:c r="J130" s="20" t="str">
        <x:v>SP 800-140 §6.7</x:v>
      </x:c>
      <x:c r="K130" s="20" t="str">
        <x:v>Pure-software exemption rationale tied to the tested platform perimeter</x:v>
      </x:c>
      <x:c r="L130" s="20" t="str">
        <x:v>Architecture review</x:v>
      </x:c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 ht="70" customHeight="1">
      <x:c r="A131" s="20" t="str">
        <x:v>AS07.15</x:v>
      </x:c>
      <x:c r="B131" s="20" t="str">
        <x:v>Physical security</x:v>
      </x:c>
      <x:c r="C131" s="20" t="str">
        <x:v>physical security</x:v>
      </x:c>
      <x:c r="D131" s="20" t="str">
        <x:v>Not applicable</x:v>
      </x:c>
      <x:c r="E131" s="20" t="str">
        <x:v>ISO/IEC 19790 §7.7.1 exempts a module implemented completely in software from §7.7 physical-security requirements.</x:v>
      </x:c>
      <x:c r="F131" s="20" t="str">
        <x:v>ISO/IEC 19790:2012 §7.7</x:v>
      </x:c>
      <x:c r="G131" s="20" t="str">
        <x:v>ISO/IEC 24759:2017 §6.7, AS07.15</x:v>
      </x:c>
      <x:c r="H131" s="20" t="str">
        <x:v>VE07.15.01</x:v>
      </x:c>
      <x:c r="I131" s="20" t="str">
        <x:v>TE07.15.01, TE07.15.02</x:v>
      </x:c>
      <x:c r="J131" s="20" t="str">
        <x:v>SP 800-140 §6.7</x:v>
      </x:c>
      <x:c r="K131" s="20" t="str">
        <x:v>Pure-software exemption rationale tied to the tested platform perimeter</x:v>
      </x:c>
      <x:c r="L131" s="20" t="str">
        <x:v>Architecture review</x:v>
      </x:c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 ht="70" customHeight="1">
      <x:c r="A132" s="20" t="str">
        <x:v>AS07.16</x:v>
      </x:c>
      <x:c r="B132" s="20" t="str">
        <x:v>Physical security</x:v>
      </x:c>
      <x:c r="C132" s="20" t="str">
        <x:v>zeroisation</x:v>
      </x:c>
      <x:c r="D132" s="20" t="str">
        <x:v>Not applicable</x:v>
      </x:c>
      <x:c r="E132" s="20" t="str">
        <x:v>ISO/IEC 19790 §7.7.1 exempts a module implemented completely in software from §7.7 physical-security requirements.</x:v>
      </x:c>
      <x:c r="F132" s="20" t="str">
        <x:v>ISO/IEC 19790:2012 §7.7</x:v>
      </x:c>
      <x:c r="G132" s="20" t="str">
        <x:v>ISO/IEC 24759:2017 §6.7, AS07.16</x:v>
      </x:c>
      <x:c r="H132" s="20" t="str">
        <x:v>—</x:v>
      </x:c>
      <x:c r="I132" s="20" t="str">
        <x:v>—</x:v>
      </x:c>
      <x:c r="J132" s="20" t="str">
        <x:v>SP 800-140 §6.7</x:v>
      </x:c>
      <x:c r="K132" s="20" t="str">
        <x:v>Pure-software exemption rationale tied to the tested platform perimeter</x:v>
      </x:c>
      <x:c r="L132" s="20" t="str">
        <x:v>Architecture review</x:v>
      </x:c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 ht="70" customHeight="1">
      <x:c r="A133" s="20" t="str">
        <x:v>AS07.43</x:v>
      </x:c>
      <x:c r="B133" s="20" t="str">
        <x:v>Physical security</x:v>
      </x:c>
      <x:c r="C133" s="20" t="str">
        <x:v>physical security</x:v>
      </x:c>
      <x:c r="D133" s="20" t="str">
        <x:v>Not applicable</x:v>
      </x:c>
      <x:c r="E133" s="20" t="str">
        <x:v>ISO/IEC 19790 §7.7.1 exempts a module implemented completely in software from §7.7 physical-security requirements.</x:v>
      </x:c>
      <x:c r="F133" s="20" t="str">
        <x:v>ISO/IEC 19790:2012 §7.7</x:v>
      </x:c>
      <x:c r="G133" s="20" t="str">
        <x:v>ISO/IEC 24759:2017 §6.7, AS07.43</x:v>
      </x:c>
      <x:c r="H133" s="20" t="str">
        <x:v>VE07.43.01</x:v>
      </x:c>
      <x:c r="I133" s="20" t="str">
        <x:v>TE07.43.01</x:v>
      </x:c>
      <x:c r="J133" s="20" t="str">
        <x:v>SP 800-140 §6.7</x:v>
      </x:c>
      <x:c r="K133" s="20" t="str">
        <x:v>Pure-software exemption rationale tied to the tested platform perimeter</x:v>
      </x:c>
      <x:c r="L133" s="20" t="str">
        <x:v>Architecture review</x:v>
      </x:c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 ht="70" customHeight="1">
      <x:c r="A134" s="20" t="str">
        <x:v>AS07.60</x:v>
      </x:c>
      <x:c r="B134" s="20" t="str">
        <x:v>Physical security</x:v>
      </x:c>
      <x:c r="C134" s="20" t="str">
        <x:v>physical security</x:v>
      </x:c>
      <x:c r="D134" s="20" t="str">
        <x:v>Not applicable</x:v>
      </x:c>
      <x:c r="E134" s="20" t="str">
        <x:v>ISO/IEC 19790 §7.7.1 exempts a module implemented completely in software from §7.7 physical-security requirements.</x:v>
      </x:c>
      <x:c r="F134" s="20" t="str">
        <x:v>ISO/IEC 19790:2012 §7.7</x:v>
      </x:c>
      <x:c r="G134" s="20" t="str">
        <x:v>ISO/IEC 24759:2017 §6.7, AS07.60</x:v>
      </x:c>
      <x:c r="H134" s="20" t="str">
        <x:v>VE07.60.01</x:v>
      </x:c>
      <x:c r="I134" s="20" t="str">
        <x:v>TE07.60.01</x:v>
      </x:c>
      <x:c r="J134" s="20" t="str">
        <x:v>SP 800-140 §6.7</x:v>
      </x:c>
      <x:c r="K134" s="20" t="str">
        <x:v>Pure-software exemption rationale tied to the tested platform perimeter</x:v>
      </x:c>
      <x:c r="L134" s="20" t="str">
        <x:v>Architecture review</x:v>
      </x:c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 ht="70" customHeight="1">
      <x:c r="A135" s="20" t="str">
        <x:v>AS08.01</x:v>
      </x:c>
      <x:c r="B135" s="20" t="str">
        <x:v>Non-invasive security</x:v>
      </x:c>
      <x:c r="C135" s="20" t="str">
        <x:v>non-invasive security</x:v>
      </x:c>
      <x:c r="D135" s="20" t="str">
        <x:v>Not claimed</x:v>
      </x:c>
      <x:c r="E135" s="20" t="str">
        <x:v>The proposed profile makes no CMVP non-invasive attack mitigation claim; SP 800-140F currently supplies no metrics.</x:v>
      </x:c>
      <x:c r="F135" s="20" t="str">
        <x:v>ISO/IEC 19790:2012 §7.8</x:v>
      </x:c>
      <x:c r="G135" s="20" t="str">
        <x:v>ISO/IEC 24759:2017 §6.8, AS08.01</x:v>
      </x:c>
      <x:c r="H135" s="20" t="str">
        <x:v>—</x:v>
      </x:c>
      <x:c r="I135" s="20" t="str">
        <x:v>—</x:v>
      </x:c>
      <x:c r="J135" s="20" t="str">
        <x:v>SP 800-140F / IG §12.A</x:v>
      </x:c>
      <x:c r="K135" s="20" t="str">
        <x:v>Explicit no-claim statement for CMVP non-invasive mitigation</x:v>
      </x:c>
      <x:c r="L135" s="20" t="str">
        <x:v>Architecture review</x:v>
      </x:c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 ht="70" customHeight="1">
      <x:c r="A136" s="20" t="str">
        <x:v>AS08.02</x:v>
      </x:c>
      <x:c r="B136" s="20" t="str">
        <x:v>Non-invasive security</x:v>
      </x:c>
      <x:c r="C136" s="20" t="str">
        <x:v>non-invasive security</x:v>
      </x:c>
      <x:c r="D136" s="20" t="str">
        <x:v>Not claimed</x:v>
      </x:c>
      <x:c r="E136" s="20" t="str">
        <x:v>The proposed profile makes no CMVP non-invasive attack mitigation claim; SP 800-140F currently supplies no metrics.</x:v>
      </x:c>
      <x:c r="F136" s="20" t="str">
        <x:v>ISO/IEC 19790:2012 §7.8</x:v>
      </x:c>
      <x:c r="G136" s="20" t="str">
        <x:v>ISO/IEC 24759:2017 §6.8, AS08.02</x:v>
      </x:c>
      <x:c r="H136" s="20" t="str">
        <x:v>—</x:v>
      </x:c>
      <x:c r="I136" s="20" t="str">
        <x:v>—</x:v>
      </x:c>
      <x:c r="J136" s="20" t="str">
        <x:v>SP 800-140F / IG §12.A</x:v>
      </x:c>
      <x:c r="K136" s="20" t="str">
        <x:v>Explicit no-claim statement for CMVP non-invasive mitigation</x:v>
      </x:c>
      <x:c r="L136" s="20" t="str">
        <x:v>Architecture review</x:v>
      </x:c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 ht="70" customHeight="1">
      <x:c r="A137" s="20" t="str">
        <x:v>AS08.03</x:v>
      </x:c>
      <x:c r="B137" s="20" t="str">
        <x:v>Non-invasive security</x:v>
      </x:c>
      <x:c r="C137" s="20" t="str">
        <x:v>non-invasive security</x:v>
      </x:c>
      <x:c r="D137" s="20" t="str">
        <x:v>Not claimed</x:v>
      </x:c>
      <x:c r="E137" s="20" t="str">
        <x:v>The proposed profile makes no CMVP non-invasive attack mitigation claim; SP 800-140F currently supplies no metrics.</x:v>
      </x:c>
      <x:c r="F137" s="20" t="str">
        <x:v>ISO/IEC 19790:2012 §7.8</x:v>
      </x:c>
      <x:c r="G137" s="20" t="str">
        <x:v>ISO/IEC 24759:2017 §6.8, AS08.03</x:v>
      </x:c>
      <x:c r="H137" s="20" t="str">
        <x:v>VE08.03.01</x:v>
      </x:c>
      <x:c r="I137" s="20" t="str">
        <x:v>TE08.03.01</x:v>
      </x:c>
      <x:c r="J137" s="20" t="str">
        <x:v>SP 800-140F / IG §12.A</x:v>
      </x:c>
      <x:c r="K137" s="20" t="str">
        <x:v>Explicit no-claim statement for CMVP non-invasive mitigation</x:v>
      </x:c>
      <x:c r="L137" s="20" t="str">
        <x:v>Architecture review</x:v>
      </x:c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 ht="70" customHeight="1">
      <x:c r="A138" s="20" t="str">
        <x:v>AS08.04</x:v>
      </x:c>
      <x:c r="B138" s="20" t="str">
        <x:v>Non-invasive security</x:v>
      </x:c>
      <x:c r="C138" s="20" t="str">
        <x:v>non-invasive security</x:v>
      </x:c>
      <x:c r="D138" s="20" t="str">
        <x:v>Not claimed</x:v>
      </x:c>
      <x:c r="E138" s="20" t="str">
        <x:v>The proposed profile makes no CMVP non-invasive attack mitigation claim; SP 800-140F currently supplies no metrics.</x:v>
      </x:c>
      <x:c r="F138" s="20" t="str">
        <x:v>ISO/IEC 19790:2012 §7.8</x:v>
      </x:c>
      <x:c r="G138" s="20" t="str">
        <x:v>ISO/IEC 24759:2017 §6.8, AS08.04</x:v>
      </x:c>
      <x:c r="H138" s="20" t="str">
        <x:v>VE08.04.01</x:v>
      </x:c>
      <x:c r="I138" s="20" t="str">
        <x:v>TE08.04.01</x:v>
      </x:c>
      <x:c r="J138" s="20" t="str">
        <x:v>SP 800-140F / IG §12.A</x:v>
      </x:c>
      <x:c r="K138" s="20" t="str">
        <x:v>Explicit no-claim statement for CMVP non-invasive mitigation</x:v>
      </x:c>
      <x:c r="L138" s="20" t="str">
        <x:v>Architecture review</x:v>
      </x:c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 ht="70" customHeight="1">
      <x:c r="A139" s="20" t="str">
        <x:v>AS08.05</x:v>
      </x:c>
      <x:c r="B139" s="20" t="str">
        <x:v>Non-invasive security</x:v>
      </x:c>
      <x:c r="C139" s="20" t="str">
        <x:v>non-invasive security</x:v>
      </x:c>
      <x:c r="D139" s="20" t="str">
        <x:v>Not claimed</x:v>
      </x:c>
      <x:c r="E139" s="20" t="str">
        <x:v>The proposed profile makes no CMVP non-invasive attack mitigation claim; SP 800-140F currently supplies no metrics.</x:v>
      </x:c>
      <x:c r="F139" s="20" t="str">
        <x:v>ISO/IEC 19790:2012 §7.8</x:v>
      </x:c>
      <x:c r="G139" s="20" t="str">
        <x:v>ISO/IEC 24759:2017 §6.8, AS08.05</x:v>
      </x:c>
      <x:c r="H139" s="20" t="str">
        <x:v>VE08.05.01</x:v>
      </x:c>
      <x:c r="I139" s="20" t="str">
        <x:v>TE08.05.01</x:v>
      </x:c>
      <x:c r="J139" s="20" t="str">
        <x:v>SP 800-140F / IG §12.A</x:v>
      </x:c>
      <x:c r="K139" s="20" t="str">
        <x:v>Explicit no-claim statement for CMVP non-invasive mitigation</x:v>
      </x:c>
      <x:c r="L139" s="20" t="str">
        <x:v>Architecture review</x:v>
      </x:c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 ht="70" customHeight="1">
      <x:c r="A140" s="20" t="str">
        <x:v>AS09.01</x:v>
      </x:c>
      <x:c r="B140" s="20" t="str">
        <x:v>SSP management</x:v>
      </x:c>
      <x:c r="C140" s="20" t="str">
        <x:v>ssp management</x:v>
      </x:c>
      <x:c r="D140" s="20" t="str">
        <x:v>Required</x:v>
      </x:c>
      <x:c r="E140" s="20" t="str">
        <x:v>Baseline Level 1 requirement for the proposed module, subject to the cited NIST modification or replacement.</x:v>
      </x:c>
      <x:c r="F140" s="20" t="str">
        <x:v>ISO/IEC 19790:2012 §7.9</x:v>
      </x:c>
      <x:c r="G140" s="20" t="str">
        <x:v>ISO/IEC 24759:2017 §6.9, AS09.01</x:v>
      </x:c>
      <x:c r="H140" s="20" t="str">
        <x:v>VE09.01.01</x:v>
      </x:c>
      <x:c r="I140" s="20" t="str">
        <x:v>TE09.01.01, TE09.01.02, TE09.01.03</x:v>
      </x:c>
      <x:c r="J140" s="20" t="str">
        <x:v>SP 800-140 §6.9 / SP 800-140D / IG §9</x:v>
      </x:c>
      <x:c r="K140" s="20" t="str">
        <x:v>SSP inventory and lifecycle evidence for import, use, storage, output, and zeroisation</x:v>
      </x:c>
      <x:c r="L140" s="20" t="str">
        <x:v>Architecture review</x:v>
      </x:c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 ht="70" customHeight="1">
      <x:c r="A141" s="20" t="str">
        <x:v>AS09.02</x:v>
      </x:c>
      <x:c r="B141" s="20" t="str">
        <x:v>SSP management</x:v>
      </x:c>
      <x:c r="C141" s="20" t="str">
        <x:v>ssp management</x:v>
      </x:c>
      <x:c r="D141" s="20" t="str">
        <x:v>Required</x:v>
      </x:c>
      <x:c r="E141" s="20" t="str">
        <x:v>Baseline Level 1 requirement for the proposed module, subject to the cited NIST modification or replacement.</x:v>
      </x:c>
      <x:c r="F141" s="20" t="str">
        <x:v>ISO/IEC 19790:2012 §7.9</x:v>
      </x:c>
      <x:c r="G141" s="20" t="str">
        <x:v>ISO/IEC 24759:2017 §6.9, AS09.02</x:v>
      </x:c>
      <x:c r="H141" s="20" t="str">
        <x:v>VE09.02.01</x:v>
      </x:c>
      <x:c r="I141" s="20" t="str">
        <x:v>TE09.02.01, TE09.02.02</x:v>
      </x:c>
      <x:c r="J141" s="20" t="str">
        <x:v>SP 800-140 §6.9 / SP 800-140D / IG §9</x:v>
      </x:c>
      <x:c r="K141" s="20" t="str">
        <x:v>SSP inventory and lifecycle evidence for import, use, storage, output, and zeroisation</x:v>
      </x:c>
      <x:c r="L141" s="20" t="str">
        <x:v>Architecture review</x:v>
      </x:c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 ht="70" customHeight="1">
      <x:c r="A142" s="20" t="str">
        <x:v>AS09.03</x:v>
      </x:c>
      <x:c r="B142" s="20" t="str">
        <x:v>SSP management</x:v>
      </x:c>
      <x:c r="C142" s="20" t="str">
        <x:v>roles</x:v>
      </x:c>
      <x:c r="D142" s="20" t="str">
        <x:v>Required</x:v>
      </x:c>
      <x:c r="E142" s="20" t="str">
        <x:v>Baseline Level 1 requirement for the proposed module, subject to the cited NIST modification or replacement.</x:v>
      </x:c>
      <x:c r="F142" s="20" t="str">
        <x:v>ISO/IEC 19790:2012 §7.9</x:v>
      </x:c>
      <x:c r="G142" s="20" t="str">
        <x:v>ISO/IEC 24759:2017 §6.9, AS09.03</x:v>
      </x:c>
      <x:c r="H142" s="20" t="str">
        <x:v>VE09.03.01</x:v>
      </x:c>
      <x:c r="I142" s="20" t="str">
        <x:v>TE09.03.01, TE09.03.02, TE09.03.03</x:v>
      </x:c>
      <x:c r="J142" s="20" t="str">
        <x:v>SP 800-140 §6.9 / SP 800-140D / IG §9</x:v>
      </x:c>
      <x:c r="K142" s="20" t="str">
        <x:v>SSP inventory and lifecycle evidence for import, use, storage, output, and zeroisation</x:v>
      </x:c>
      <x:c r="L142" s="20" t="str">
        <x:v>Architecture review</x:v>
      </x:c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 ht="70" customHeight="1">
      <x:c r="A143" s="20" t="str">
        <x:v>AS09.04</x:v>
      </x:c>
      <x:c r="B143" s="20" t="str">
        <x:v>SSP management</x:v>
      </x:c>
      <x:c r="C143" s="20" t="str">
        <x:v>SSP generation</x:v>
      </x:c>
      <x:c r="D143" s="20" t="str">
        <x:v>Not applicable</x:v>
      </x:c>
      <x:c r="E143" s="20" t="str">
        <x:v>The proposed validated profile contains no password hash, RBG state, or key-generation intermediate covered by this assertion.</x:v>
      </x:c>
      <x:c r="F143" s="20" t="str">
        <x:v>ISO/IEC 19790:2012 §7.9</x:v>
      </x:c>
      <x:c r="G143" s="20" t="str">
        <x:v>ISO/IEC 24759:2017 §6.9, AS09.04</x:v>
      </x:c>
      <x:c r="H143" s="20" t="str">
        <x:v>VE09.04.01</x:v>
      </x:c>
      <x:c r="I143" s="20" t="str">
        <x:v>TE09.04.01, TE09.04.02</x:v>
      </x:c>
      <x:c r="J143" s="20" t="str">
        <x:v>SP 800-140 §6.9 / SP 800-140D / IG §9</x:v>
      </x:c>
      <x:c r="K143" s="20" t="str">
        <x:v>SSP inventory and lifecycle evidence for import, use, storage, output, and zeroisation</x:v>
      </x:c>
      <x:c r="L143" s="20" t="str">
        <x:v>Architecture review</x:v>
      </x:c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 ht="70" customHeight="1">
      <x:c r="A144" s="20" t="str">
        <x:v>AS09.05</x:v>
      </x:c>
      <x:c r="B144" s="20" t="str">
        <x:v>SSP management</x:v>
      </x:c>
      <x:c r="C144" s="20" t="str">
        <x:v>ssp management</x:v>
      </x:c>
      <x:c r="D144" s="20" t="str">
        <x:v>Required</x:v>
      </x:c>
      <x:c r="E144" s="20" t="str">
        <x:v>Baseline Level 1 requirement for the proposed module, subject to the cited NIST modification or replacement.</x:v>
      </x:c>
      <x:c r="F144" s="20" t="str">
        <x:v>ISO/IEC 19790:2012 §7.9</x:v>
      </x:c>
      <x:c r="G144" s="20" t="str">
        <x:v>ISO/IEC 24759:2017 §6.9, AS09.05</x:v>
      </x:c>
      <x:c r="H144" s="20" t="str">
        <x:v>VE09.05.01</x:v>
      </x:c>
      <x:c r="I144" s="20" t="str">
        <x:v>TE09.05.01</x:v>
      </x:c>
      <x:c r="J144" s="20" t="str">
        <x:v>SP 800-140 §6.9 / SP 800-140D / IG §9</x:v>
      </x:c>
      <x:c r="K144" s="20" t="str">
        <x:v>SSP inventory and lifecycle evidence for import, use, storage, output, and zeroisation</x:v>
      </x:c>
      <x:c r="L144" s="20" t="str">
        <x:v>Architecture review</x:v>
      </x:c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 ht="70" customHeight="1">
      <x:c r="A145" s="20" t="str">
        <x:v>AS09.06</x:v>
      </x:c>
      <x:c r="B145" s="20" t="str">
        <x:v>SSP management</x:v>
      </x:c>
      <x:c r="C145" s="20" t="str">
        <x:v>approved functions; SSP generation; SSP establishment</x:v>
      </x:c>
      <x:c r="D145" s="20" t="str">
        <x:v>Excluded service</x:v>
      </x:c>
      <x:c r="E145" s="20" t="str">
        <x:v>Generation/encapsulation/signing paths that consume external entropy are outside the proposed validation profile; imported SSP handling remains in scope.</x:v>
      </x:c>
      <x:c r="F145" s="20" t="str">
        <x:v>ISO/IEC 19790:2012 §7.9</x:v>
      </x:c>
      <x:c r="G145" s="20" t="str">
        <x:v>ISO/IEC 24759:2017 §6.9, AS09.06</x:v>
      </x:c>
      <x:c r="H145" s="20" t="str">
        <x:v>VE09.06.01, VE09.06.02</x:v>
      </x:c>
      <x:c r="I145" s="20" t="str">
        <x:v>TE09.06.01, TE09.06.02, TE09.06.03</x:v>
      </x:c>
      <x:c r="J145" s="20" t="str">
        <x:v>SP 800-140 §6.9 / SP 800-140D / IG §9</x:v>
      </x:c>
      <x:c r="K145" s="20" t="str">
        <x:v>SSP inventory and lifecycle evidence for import, use, storage, output, and zeroisation</x:v>
      </x:c>
      <x:c r="L145" s="20" t="str">
        <x:v>Architecture review</x:v>
      </x:c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 ht="70" customHeight="1">
      <x:c r="A146" s="20" t="str">
        <x:v>AS09.07</x:v>
      </x:c>
      <x:c r="B146" s="20" t="str">
        <x:v>SSP management</x:v>
      </x:c>
      <x:c r="C146" s="20" t="str">
        <x:v>boundary; SSP generation</x:v>
      </x:c>
      <x:c r="D146" s="20" t="str">
        <x:v>Excluded service</x:v>
      </x:c>
      <x:c r="E146" s="20" t="str">
        <x:v>Generation/encapsulation/signing paths that consume external entropy are outside the proposed validation profile; imported SSP handling remains in scope.</x:v>
      </x:c>
      <x:c r="F146" s="20" t="str">
        <x:v>ISO/IEC 19790:2012 §7.9</x:v>
      </x:c>
      <x:c r="G146" s="20" t="str">
        <x:v>ISO/IEC 24759:2017 §6.9, AS09.07</x:v>
      </x:c>
      <x:c r="H146" s="20" t="str">
        <x:v>VE09.07.01</x:v>
      </x:c>
      <x:c r="I146" s="20" t="str">
        <x:v>TE09.07.01</x:v>
      </x:c>
      <x:c r="J146" s="20" t="str">
        <x:v>SP 800-140 §6.9 / SP 800-140D / IG §9</x:v>
      </x:c>
      <x:c r="K146" s="20" t="str">
        <x:v>SSP inventory and lifecycle evidence for import, use, storage, output, and zeroisation</x:v>
      </x:c>
      <x:c r="L146" s="20" t="str">
        <x:v>Architecture review</x:v>
      </x:c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 ht="70" customHeight="1">
      <x:c r="A147" s="20" t="str">
        <x:v>AS09.08</x:v>
      </x:c>
      <x:c r="B147" s="20" t="str">
        <x:v>SSP management</x:v>
      </x:c>
      <x:c r="C147" s="20" t="str">
        <x:v>SSP generation</x:v>
      </x:c>
      <x:c r="D147" s="20" t="str">
        <x:v>Excluded service</x:v>
      </x:c>
      <x:c r="E147" s="20" t="str">
        <x:v>Generation/encapsulation/signing paths that consume external entropy are outside the proposed validation profile; imported SSP handling remains in scope.</x:v>
      </x:c>
      <x:c r="F147" s="20" t="str">
        <x:v>ISO/IEC 19790:2012 §7.9</x:v>
      </x:c>
      <x:c r="G147" s="20" t="str">
        <x:v>ISO/IEC 24759:2017 §6.9, AS09.08</x:v>
      </x:c>
      <x:c r="H147" s="20" t="str">
        <x:v>VE09.08.01</x:v>
      </x:c>
      <x:c r="I147" s="20" t="str">
        <x:v>TE09.08.01, TE09.08.02</x:v>
      </x:c>
      <x:c r="J147" s="20" t="str">
        <x:v>SP 800-140 §6.9 / SP 800-140D / IG §9</x:v>
      </x:c>
      <x:c r="K147" s="20" t="str">
        <x:v>SSP inventory and lifecycle evidence for import, use, storage, output, and zeroisation</x:v>
      </x:c>
      <x:c r="L147" s="20" t="str">
        <x:v>Architecture review</x:v>
      </x:c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 ht="70" customHeight="1">
      <x:c r="A148" s="20" t="str">
        <x:v>AS09.09</x:v>
      </x:c>
      <x:c r="B148" s="20" t="str">
        <x:v>SSP management</x:v>
      </x:c>
      <x:c r="C148" s="20" t="str">
        <x:v>approved functions; SSP generation; SSP establishment</x:v>
      </x:c>
      <x:c r="D148" s="20" t="str">
        <x:v>Excluded service</x:v>
      </x:c>
      <x:c r="E148" s="20" t="str">
        <x:v>Generation/encapsulation/signing paths that consume external entropy are outside the proposed validation profile; imported SSP handling remains in scope.</x:v>
      </x:c>
      <x:c r="F148" s="20" t="str">
        <x:v>ISO/IEC 19790:2012 §7.9</x:v>
      </x:c>
      <x:c r="G148" s="20" t="str">
        <x:v>ISO/IEC 24759:2017 §6.9, AS09.09</x:v>
      </x:c>
      <x:c r="H148" s="20" t="str">
        <x:v>VE09.09.01, VE09.09.02</x:v>
      </x:c>
      <x:c r="I148" s="20" t="str">
        <x:v>TE09.09.01, TE09.09.02</x:v>
      </x:c>
      <x:c r="J148" s="20" t="str">
        <x:v>SP 800-140 §6.9 / SP 800-140D / IG §9</x:v>
      </x:c>
      <x:c r="K148" s="20" t="str">
        <x:v>SSP inventory and lifecycle evidence for import, use, storage, output, and zeroisation</x:v>
      </x:c>
      <x:c r="L148" s="20" t="str">
        <x:v>Architecture review</x:v>
      </x:c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 ht="70" customHeight="1">
      <x:c r="A149" s="20" t="str">
        <x:v>AS09.10</x:v>
      </x:c>
      <x:c r="B149" s="20" t="str">
        <x:v>SSP management</x:v>
      </x:c>
      <x:c r="C149" s="20" t="str">
        <x:v>SSP establishment</x:v>
      </x:c>
      <x:c r="D149" s="20" t="str">
        <x:v>Required</x:v>
      </x:c>
      <x:c r="E149" s="20" t="str">
        <x:v>Baseline Level 1 requirement for the proposed module, subject to the cited NIST modification or replacement.</x:v>
      </x:c>
      <x:c r="F149" s="20" t="str">
        <x:v>ISO/IEC 19790:2012 §7.9</x:v>
      </x:c>
      <x:c r="G149" s="20" t="str">
        <x:v>ISO/IEC 24759:2017 §6.9, AS09.10</x:v>
      </x:c>
      <x:c r="H149" s="20" t="str">
        <x:v>VE09.10.01</x:v>
      </x:c>
      <x:c r="I149" s="20" t="str">
        <x:v>TE09.10.01, TE09.10.02</x:v>
      </x:c>
      <x:c r="J149" s="20" t="str">
        <x:v>SP 800-140 §6.9 / SP 800-140D / IG §9</x:v>
      </x:c>
      <x:c r="K149" s="20" t="str">
        <x:v>SSP inventory and lifecycle evidence for import, use, storage, output, and zeroisation</x:v>
      </x:c>
      <x:c r="L149" s="20" t="str">
        <x:v>Architecture review</x:v>
      </x:c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 ht="70" customHeight="1">
      <x:c r="A150" s="20" t="str">
        <x:v>AS09.11</x:v>
      </x:c>
      <x:c r="B150" s="20" t="str">
        <x:v>SSP management</x:v>
      </x:c>
      <x:c r="C150" s="20" t="str">
        <x:v>SSP establishment</x:v>
      </x:c>
      <x:c r="D150" s="20" t="str">
        <x:v>Not applicable</x:v>
      </x:c>
      <x:c r="E150" s="20" t="str">
        <x:v>The proposed validated profile does not support manual SSP establishment.</x:v>
      </x:c>
      <x:c r="F150" s="20" t="str">
        <x:v>ISO/IEC 19790:2012 §7.9</x:v>
      </x:c>
      <x:c r="G150" s="20" t="str">
        <x:v>ISO/IEC 24759:2017 §6.9, AS09.11</x:v>
      </x:c>
      <x:c r="H150" s="20" t="str">
        <x:v>—</x:v>
      </x:c>
      <x:c r="I150" s="20" t="str">
        <x:v>—</x:v>
      </x:c>
      <x:c r="J150" s="20" t="str">
        <x:v>SP 800-140 §6.9 / SP 800-140D / IG §9</x:v>
      </x:c>
      <x:c r="K150" s="20" t="str">
        <x:v>SSP inventory and lifecycle evidence for import, use, storage, output, and zeroisation</x:v>
      </x:c>
      <x:c r="L150" s="20" t="str">
        <x:v>Architecture review</x:v>
      </x:c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 ht="70" customHeight="1">
      <x:c r="A151" s="20" t="str">
        <x:v>AS09.12</x:v>
      </x:c>
      <x:c r="B151" s="20" t="str">
        <x:v>SSP management</x:v>
      </x:c>
      <x:c r="C151" s="20" t="str">
        <x:v>interfaces</x:v>
      </x:c>
      <x:c r="D151" s="20" t="str">
        <x:v>Required</x:v>
      </x:c>
      <x:c r="E151" s="20" t="str">
        <x:v>Baseline Level 1 requirement for the proposed module, subject to the cited NIST modification or replacement.</x:v>
      </x:c>
      <x:c r="F151" s="20" t="str">
        <x:v>ISO/IEC 19790:2012 §7.9</x:v>
      </x:c>
      <x:c r="G151" s="20" t="str">
        <x:v>ISO/IEC 24759:2017 §6.9, AS09.12</x:v>
      </x:c>
      <x:c r="H151" s="20" t="str">
        <x:v>—</x:v>
      </x:c>
      <x:c r="I151" s="20" t="str">
        <x:v>—</x:v>
      </x:c>
      <x:c r="J151" s="20" t="str">
        <x:v>SP 800-140 §6.9 / SP 800-140D / IG §9</x:v>
      </x:c>
      <x:c r="K151" s="20" t="str">
        <x:v>SSP inventory and lifecycle evidence for import, use, storage, output, and zeroisation</x:v>
      </x:c>
      <x:c r="L151" s="20" t="str">
        <x:v>Architecture review</x:v>
      </x:c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 ht="70" customHeight="1">
      <x:c r="A152" s="20" t="str">
        <x:v>AS09.13</x:v>
      </x:c>
      <x:c r="B152" s="20" t="str">
        <x:v>SSP management</x:v>
      </x:c>
      <x:c r="C152" s="20" t="str">
        <x:v>approved functions</x:v>
      </x:c>
      <x:c r="D152" s="20" t="str">
        <x:v>Required</x:v>
      </x:c>
      <x:c r="E152" s="20" t="str">
        <x:v>Baseline Level 1 requirement for the proposed module, subject to the cited NIST modification or replacement.</x:v>
      </x:c>
      <x:c r="F152" s="20" t="str">
        <x:v>ISO/IEC 19790:2012 §7.9</x:v>
      </x:c>
      <x:c r="G152" s="20" t="str">
        <x:v>ISO/IEC 24759:2017 §6.9, AS09.13</x:v>
      </x:c>
      <x:c r="H152" s="20" t="str">
        <x:v>VE09.13.01, VE09.13.02</x:v>
      </x:c>
      <x:c r="I152" s="20" t="str">
        <x:v>TE09.13.01, TE09.13.02, TE09.13.03</x:v>
      </x:c>
      <x:c r="J152" s="20" t="str">
        <x:v>SP 800-140 §6.9 / SP 800-140D / IG §9</x:v>
      </x:c>
      <x:c r="K152" s="20" t="str">
        <x:v>SSP inventory and lifecycle evidence for import, use, storage, output, and zeroisation</x:v>
      </x:c>
      <x:c r="L152" s="20" t="str">
        <x:v>Architecture review</x:v>
      </x:c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 ht="70" customHeight="1">
      <x:c r="A153" s="20" t="str">
        <x:v>AS09.14</x:v>
      </x:c>
      <x:c r="B153" s="20" t="str">
        <x:v>SSP management</x:v>
      </x:c>
      <x:c r="C153" s="20" t="str">
        <x:v>ssp management</x:v>
      </x:c>
      <x:c r="D153" s="20" t="str">
        <x:v>Required</x:v>
      </x:c>
      <x:c r="E153" s="20" t="str">
        <x:v>Baseline Level 1 requirement for the proposed module, subject to the cited NIST modification or replacement.</x:v>
      </x:c>
      <x:c r="F153" s="20" t="str">
        <x:v>ISO/IEC 19790:2012 §7.9</x:v>
      </x:c>
      <x:c r="G153" s="20" t="str">
        <x:v>ISO/IEC 24759:2017 §6.9, AS09.14</x:v>
      </x:c>
      <x:c r="H153" s="20" t="str">
        <x:v>VE09.14.01</x:v>
      </x:c>
      <x:c r="I153" s="20" t="str">
        <x:v>TE09.14.01, TE09.14.02</x:v>
      </x:c>
      <x:c r="J153" s="20" t="str">
        <x:v>SP 800-140 §6.9 / SP 800-140D / IG §9</x:v>
      </x:c>
      <x:c r="K153" s="20" t="str">
        <x:v>SSP inventory and lifecycle evidence for import, use, storage, output, and zeroisation</x:v>
      </x:c>
      <x:c r="L153" s="20" t="str">
        <x:v>Architecture review</x:v>
      </x:c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 ht="70" customHeight="1">
      <x:c r="A154" s="20" t="str">
        <x:v>AS09.15</x:v>
      </x:c>
      <x:c r="B154" s="20" t="str">
        <x:v>SSP management</x:v>
      </x:c>
      <x:c r="C154" s="20" t="str">
        <x:v>ssp management</x:v>
      </x:c>
      <x:c r="D154" s="20" t="str">
        <x:v>Conditional</x:v>
      </x:c>
      <x:c r="E154" s="20" t="str">
        <x:v>Applies only if the named optional mode, role, interface, or loading mechanism is present.</x:v>
      </x:c>
      <x:c r="F154" s="20" t="str">
        <x:v>ISO/IEC 19790:2012 §7.9</x:v>
      </x:c>
      <x:c r="G154" s="20" t="str">
        <x:v>ISO/IEC 24759:2017 §6.9, AS09.15</x:v>
      </x:c>
      <x:c r="H154" s="20" t="str">
        <x:v>—</x:v>
      </x:c>
      <x:c r="I154" s="20" t="str">
        <x:v>—</x:v>
      </x:c>
      <x:c r="J154" s="20" t="str">
        <x:v>SP 800-140 §6.9 / SP 800-140D / IG §9</x:v>
      </x:c>
      <x:c r="K154" s="20" t="str">
        <x:v>SSP inventory and lifecycle evidence for import, use, storage, output, and zeroisation</x:v>
      </x:c>
      <x:c r="L154" s="20" t="str">
        <x:v>Architecture review</x:v>
      </x:c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 ht="70" customHeight="1">
      <x:c r="A155" s="20" t="str">
        <x:v>AS09.16</x:v>
      </x:c>
      <x:c r="B155" s="20" t="str">
        <x:v>SSP management</x:v>
      </x:c>
      <x:c r="C155" s="20" t="str">
        <x:v>ssp management</x:v>
      </x:c>
      <x:c r="D155" s="20" t="str">
        <x:v>Required</x:v>
      </x:c>
      <x:c r="E155" s="20" t="str">
        <x:v>Baseline Level 1 requirement for the proposed module, subject to the cited NIST modification or replacement.</x:v>
      </x:c>
      <x:c r="F155" s="20" t="str">
        <x:v>ISO/IEC 19790:2012 §7.9</x:v>
      </x:c>
      <x:c r="G155" s="20" t="str">
        <x:v>ISO/IEC 24759:2017 §6.9, AS09.16</x:v>
      </x:c>
      <x:c r="H155" s="20" t="str">
        <x:v>VE09.16.01, VE09.16.02</x:v>
      </x:c>
      <x:c r="I155" s="20" t="str">
        <x:v>TE09.16.01, TE09.16.02, TE09.16.03</x:v>
      </x:c>
      <x:c r="J155" s="20" t="str">
        <x:v>SP 800-140 §6.9 / SP 800-140D / IG §9</x:v>
      </x:c>
      <x:c r="K155" s="20" t="str">
        <x:v>SSP inventory and lifecycle evidence for import, use, storage, output, and zeroisation</x:v>
      </x:c>
      <x:c r="L155" s="20" t="str">
        <x:v>Architecture review</x:v>
      </x:c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 ht="70" customHeight="1">
      <x:c r="A156" s="20" t="str">
        <x:v>AS09.17</x:v>
      </x:c>
      <x:c r="B156" s="20" t="str">
        <x:v>SSP management</x:v>
      </x:c>
      <x:c r="C156" s="20" t="str">
        <x:v>ssp management</x:v>
      </x:c>
      <x:c r="D156" s="20" t="str">
        <x:v>Required</x:v>
      </x:c>
      <x:c r="E156" s="20" t="str">
        <x:v>Baseline Level 1 requirement for the proposed module, subject to the cited NIST modification or replacement.</x:v>
      </x:c>
      <x:c r="F156" s="20" t="str">
        <x:v>ISO/IEC 19790:2012 §7.9</x:v>
      </x:c>
      <x:c r="G156" s="20" t="str">
        <x:v>ISO/IEC 24759:2017 §6.9, AS09.17</x:v>
      </x:c>
      <x:c r="H156" s="20" t="str">
        <x:v>—</x:v>
      </x:c>
      <x:c r="I156" s="20" t="str">
        <x:v>—</x:v>
      </x:c>
      <x:c r="J156" s="20" t="str">
        <x:v>SP 800-140 §6.9 / SP 800-140D / IG §9</x:v>
      </x:c>
      <x:c r="K156" s="20" t="str">
        <x:v>SSP inventory and lifecycle evidence for import, use, storage, output, and zeroisation</x:v>
      </x:c>
      <x:c r="L156" s="20" t="str">
        <x:v>Architecture review</x:v>
      </x:c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 ht="70" customHeight="1">
      <x:c r="A157" s="20" t="str">
        <x:v>AS09.18</x:v>
      </x:c>
      <x:c r="B157" s="20" t="str">
        <x:v>SSP management</x:v>
      </x:c>
      <x:c r="C157" s="20" t="str">
        <x:v>authentication</x:v>
      </x:c>
      <x:c r="D157" s="20" t="str">
        <x:v>Conditional</x:v>
      </x:c>
      <x:c r="E157" s="20" t="str">
        <x:v>Level 1 permits implicit role assumption; this applies only if an authentication mechanism is implemented.</x:v>
      </x:c>
      <x:c r="F157" s="20" t="str">
        <x:v>ISO/IEC 19790:2012 §7.9</x:v>
      </x:c>
      <x:c r="G157" s="20" t="str">
        <x:v>ISO/IEC 24759:2017 §6.9, AS09.18</x:v>
      </x:c>
      <x:c r="H157" s="20" t="str">
        <x:v>VE09.18.01, VE09.18.02</x:v>
      </x:c>
      <x:c r="I157" s="20" t="str">
        <x:v>TE09.18.01, TE09.18.02</x:v>
      </x:c>
      <x:c r="J157" s="20" t="str">
        <x:v>SP 800-140 §6.9 / SP 800-140D / IG §9</x:v>
      </x:c>
      <x:c r="K157" s="20" t="str">
        <x:v>SSP inventory and lifecycle evidence for import, use, storage, output, and zeroisation</x:v>
      </x:c>
      <x:c r="L157" s="20" t="str">
        <x:v>Architecture review</x:v>
      </x:c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 ht="70" customHeight="1">
      <x:c r="A158" s="20" t="str">
        <x:v>AS09.19</x:v>
      </x:c>
      <x:c r="B158" s="20" t="str">
        <x:v>SSP management</x:v>
      </x:c>
      <x:c r="C158" s="20" t="str">
        <x:v>module type; authentication</x:v>
      </x:c>
      <x:c r="D158" s="20" t="str">
        <x:v>Conditional</x:v>
      </x:c>
      <x:c r="E158" s="20" t="str">
        <x:v>Level 1 permits implicit role assumption; this applies only if an authentication mechanism is implemented.</x:v>
      </x:c>
      <x:c r="F158" s="20" t="str">
        <x:v>ISO/IEC 19790:2012 §7.9</x:v>
      </x:c>
      <x:c r="G158" s="20" t="str">
        <x:v>ISO/IEC 24759:2017 §6.9, AS09.19</x:v>
      </x:c>
      <x:c r="H158" s="20" t="str">
        <x:v>VE09.19.01</x:v>
      </x:c>
      <x:c r="I158" s="20" t="str">
        <x:v>TE09.19.01</x:v>
      </x:c>
      <x:c r="J158" s="20" t="str">
        <x:v>SP 800-140 §6.9 / SP 800-140D / IG §9</x:v>
      </x:c>
      <x:c r="K158" s="20" t="str">
        <x:v>SSP inventory and lifecycle evidence for import, use, storage, output, and zeroisation</x:v>
      </x:c>
      <x:c r="L158" s="20" t="str">
        <x:v>Architecture review</x:v>
      </x:c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 ht="70" customHeight="1">
      <x:c r="A159" s="20" t="str">
        <x:v>AS09.25</x:v>
      </x:c>
      <x:c r="B159" s="20" t="str">
        <x:v>SSP management</x:v>
      </x:c>
      <x:c r="C159" s="20" t="str">
        <x:v>roles</x:v>
      </x:c>
      <x:c r="D159" s="20" t="str">
        <x:v>Required</x:v>
      </x:c>
      <x:c r="E159" s="20" t="str">
        <x:v>Baseline Level 1 requirement for the proposed module, subject to the cited NIST modification or replacement.</x:v>
      </x:c>
      <x:c r="F159" s="20" t="str">
        <x:v>ISO/IEC 19790:2012 §7.9</x:v>
      </x:c>
      <x:c r="G159" s="20" t="str">
        <x:v>ISO/IEC 24759:2017 §6.9, AS09.25</x:v>
      </x:c>
      <x:c r="H159" s="20" t="str">
        <x:v>VE09.25.01</x:v>
      </x:c>
      <x:c r="I159" s="20" t="str">
        <x:v>TE09.25.01, TE09.25.02</x:v>
      </x:c>
      <x:c r="J159" s="20" t="str">
        <x:v>SP 800-140 §6.9 / SP 800-140D / IG §9</x:v>
      </x:c>
      <x:c r="K159" s="20" t="str">
        <x:v>SSP inventory and lifecycle evidence for import, use, storage, output, and zeroisation</x:v>
      </x:c>
      <x:c r="L159" s="20" t="str">
        <x:v>Architecture review</x:v>
      </x:c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 ht="70" customHeight="1">
      <x:c r="A160" s="20" t="str">
        <x:v>AS09.26</x:v>
      </x:c>
      <x:c r="B160" s="20" t="str">
        <x:v>SSP management</x:v>
      </x:c>
      <x:c r="C160" s="20" t="str">
        <x:v>ssp management</x:v>
      </x:c>
      <x:c r="D160" s="20" t="str">
        <x:v>Required</x:v>
      </x:c>
      <x:c r="E160" s="20" t="str">
        <x:v>Baseline Level 1 requirement for the proposed module, subject to the cited NIST modification or replacement.</x:v>
      </x:c>
      <x:c r="F160" s="20" t="str">
        <x:v>ISO/IEC 19790:2012 §7.9</x:v>
      </x:c>
      <x:c r="G160" s="20" t="str">
        <x:v>ISO/IEC 24759:2017 §6.9, AS09.26</x:v>
      </x:c>
      <x:c r="H160" s="20" t="str">
        <x:v>—</x:v>
      </x:c>
      <x:c r="I160" s="20" t="str">
        <x:v>—</x:v>
      </x:c>
      <x:c r="J160" s="20" t="str">
        <x:v>SP 800-140 §6.9 / SP 800-140D / IG §9</x:v>
      </x:c>
      <x:c r="K160" s="20" t="str">
        <x:v>SSP inventory and lifecycle evidence for import, use, storage, output, and zeroisation</x:v>
      </x:c>
      <x:c r="L160" s="20" t="str">
        <x:v>Architecture review</x:v>
      </x:c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 ht="70" customHeight="1">
      <x:c r="A161" s="20" t="str">
        <x:v>AS09.27</x:v>
      </x:c>
      <x:c r="B161" s="20" t="str">
        <x:v>SSP management</x:v>
      </x:c>
      <x:c r="C161" s="20" t="str">
        <x:v>ssp management</x:v>
      </x:c>
      <x:c r="D161" s="20" t="str">
        <x:v>Required</x:v>
      </x:c>
      <x:c r="E161" s="20" t="str">
        <x:v>Baseline Level 1 requirement for the proposed module, subject to the cited NIST modification or replacement.</x:v>
      </x:c>
      <x:c r="F161" s="20" t="str">
        <x:v>ISO/IEC 19790:2012 §7.9</x:v>
      </x:c>
      <x:c r="G161" s="20" t="str">
        <x:v>ISO/IEC 24759:2017 §6.9, AS09.27</x:v>
      </x:c>
      <x:c r="H161" s="20" t="str">
        <x:v>VE09.27.01</x:v>
      </x:c>
      <x:c r="I161" s="20" t="str">
        <x:v>TE09.27.01, TE09.27.02</x:v>
      </x:c>
      <x:c r="J161" s="20" t="str">
        <x:v>SP 800-140 §6.9 / SP 800-140D / IG §9</x:v>
      </x:c>
      <x:c r="K161" s="20" t="str">
        <x:v>SSP inventory and lifecycle evidence for import, use, storage, output, and zeroisation</x:v>
      </x:c>
      <x:c r="L161" s="20" t="str">
        <x:v>Architecture review</x:v>
      </x:c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 ht="70" customHeight="1">
      <x:c r="A162" s="20" t="str">
        <x:v>AS09.28</x:v>
      </x:c>
      <x:c r="B162" s="20" t="str">
        <x:v>SSP management</x:v>
      </x:c>
      <x:c r="C162" s="20" t="str">
        <x:v>SSP storage; zeroisation</x:v>
      </x:c>
      <x:c r="D162" s="20" t="str">
        <x:v>Required</x:v>
      </x:c>
      <x:c r="E162" s="20" t="str">
        <x:v>Baseline Level 1 requirement for the proposed module, subject to the cited NIST modification or replacement.</x:v>
      </x:c>
      <x:c r="F162" s="20" t="str">
        <x:v>ISO/IEC 19790:2012 §7.9</x:v>
      </x:c>
      <x:c r="G162" s="20" t="str">
        <x:v>ISO/IEC 24759:2017 §6.9, AS09.28</x:v>
      </x:c>
      <x:c r="H162" s="20" t="str">
        <x:v>—</x:v>
      </x:c>
      <x:c r="I162" s="20" t="str">
        <x:v>—</x:v>
      </x:c>
      <x:c r="J162" s="20" t="str">
        <x:v>SP 800-140 §6.9 / SP 800-140D / IG §9</x:v>
      </x:c>
      <x:c r="K162" s="20" t="str">
        <x:v>SSP inventory and lifecycle evidence for import, use, storage, output, and zeroisation</x:v>
      </x:c>
      <x:c r="L162" s="20" t="str">
        <x:v>Architecture review</x:v>
      </x:c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 ht="70" customHeight="1">
      <x:c r="A163" s="20" t="str">
        <x:v>AS09.29</x:v>
      </x:c>
      <x:c r="B163" s="20" t="str">
        <x:v>SSP management</x:v>
      </x:c>
      <x:c r="C163" s="20" t="str">
        <x:v>zeroisation</x:v>
      </x:c>
      <x:c r="D163" s="20" t="str">
        <x:v>Required</x:v>
      </x:c>
      <x:c r="E163" s="20" t="str">
        <x:v>Baseline Level 1 requirement for the proposed module, subject to the cited NIST modification or replacement.</x:v>
      </x:c>
      <x:c r="F163" s="20" t="str">
        <x:v>ISO/IEC 19790:2012 §7.9</x:v>
      </x:c>
      <x:c r="G163" s="20" t="str">
        <x:v>ISO/IEC 24759:2017 §6.9, AS09.29</x:v>
      </x:c>
      <x:c r="H163" s="20" t="str">
        <x:v>VE09.29.01</x:v>
      </x:c>
      <x:c r="I163" s="20" t="str">
        <x:v>TE09.29.01, TE09.29.02</x:v>
      </x:c>
      <x:c r="J163" s="20" t="str">
        <x:v>SP 800-140 §6.9 / SP 800-140D / IG §9</x:v>
      </x:c>
      <x:c r="K163" s="20" t="str">
        <x:v>SSP inventory and lifecycle evidence for import, use, storage, output, and zeroisation</x:v>
      </x:c>
      <x:c r="L163" s="20" t="str">
        <x:v>Architecture review</x:v>
      </x:c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 ht="70" customHeight="1">
      <x:c r="A164" s="20" t="str">
        <x:v>AS10.01</x:v>
      </x:c>
      <x:c r="B164" s="20" t="str">
        <x:v>Self-tests</x:v>
      </x:c>
      <x:c r="C164" s="20" t="str">
        <x:v>approved functions; modes; self-tests</x:v>
      </x:c>
      <x:c r="D164" s="20" t="str">
        <x:v>Required</x:v>
      </x:c>
      <x:c r="E164" s="20" t="str">
        <x:v>Baseline Level 1 requirement for the proposed module, subject to the cited NIST modification or replacement.</x:v>
      </x:c>
      <x:c r="F164" s="20" t="str">
        <x:v>ISO/IEC 19790:2012 §7.10</x:v>
      </x:c>
      <x:c r="G164" s="20" t="str">
        <x:v>ISO/IEC 24759:2017 §6.10, AS10.01</x:v>
      </x:c>
      <x:c r="H164" s="20" t="str">
        <x:v>—</x:v>
      </x:c>
      <x:c r="I164" s="20" t="str">
        <x:v>—</x:v>
      </x:c>
      <x:c r="J164" s="20" t="str">
        <x:v>SP 800-140 §6.10 / IG §10</x:v>
      </x:c>
      <x:c r="K164" s="20" t="str">
        <x:v>Self-test design, vectors, failure injection, error-state behavior, and test records</x:v>
      </x:c>
      <x:c r="L164" s="20" t="str">
        <x:v>Architecture review</x:v>
      </x:c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 ht="70" customHeight="1">
      <x:c r="A165" s="20" t="str">
        <x:v>AS10.02</x:v>
      </x:c>
      <x:c r="B165" s="20" t="str">
        <x:v>Self-tests</x:v>
      </x:c>
      <x:c r="C165" s="20" t="str">
        <x:v>approved functions; modes; self-tests</x:v>
      </x:c>
      <x:c r="D165" s="20" t="str">
        <x:v>Required</x:v>
      </x:c>
      <x:c r="E165" s="20" t="str">
        <x:v>Baseline Level 1 requirement for the proposed module, subject to the cited NIST modification or replacement.</x:v>
      </x:c>
      <x:c r="F165" s="20" t="str">
        <x:v>ISO/IEC 19790:2012 §7.10</x:v>
      </x:c>
      <x:c r="G165" s="20" t="str">
        <x:v>ISO/IEC 24759:2017 §6.10, AS10.02</x:v>
      </x:c>
      <x:c r="H165" s="20" t="str">
        <x:v>—</x:v>
      </x:c>
      <x:c r="I165" s="20" t="str">
        <x:v>—</x:v>
      </x:c>
      <x:c r="J165" s="20" t="str">
        <x:v>SP 800-140 §6.10 / IG §10</x:v>
      </x:c>
      <x:c r="K165" s="20" t="str">
        <x:v>Self-test design, vectors, failure injection, error-state behavior, and test records</x:v>
      </x:c>
      <x:c r="L165" s="20" t="str">
        <x:v>Architecture review</x:v>
      </x:c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 ht="70" customHeight="1">
      <x:c r="A166" s="20" t="str">
        <x:v>AS10.03</x:v>
      </x:c>
      <x:c r="B166" s="20" t="str">
        <x:v>Self-tests</x:v>
      </x:c>
      <x:c r="C166" s="20" t="str">
        <x:v>interfaces; data output; self-tests</x:v>
      </x:c>
      <x:c r="D166" s="20" t="str">
        <x:v>Required</x:v>
      </x:c>
      <x:c r="E166" s="20" t="str">
        <x:v>Baseline Level 1 requirement for the proposed module, subject to the cited NIST modification or replacement.</x:v>
      </x:c>
      <x:c r="F166" s="20" t="str">
        <x:v>ISO/IEC 19790:2012 §7.10</x:v>
      </x:c>
      <x:c r="G166" s="20" t="str">
        <x:v>ISO/IEC 24759:2017 §6.10, AS10.03</x:v>
      </x:c>
      <x:c r="H166" s="20" t="str">
        <x:v>—</x:v>
      </x:c>
      <x:c r="I166" s="20" t="str">
        <x:v>—</x:v>
      </x:c>
      <x:c r="J166" s="20" t="str">
        <x:v>SP 800-140 §6.10 / IG §10</x:v>
      </x:c>
      <x:c r="K166" s="20" t="str">
        <x:v>Self-test design, vectors, failure injection, error-state behavior, and test records</x:v>
      </x:c>
      <x:c r="L166" s="20" t="str">
        <x:v>Architecture review</x:v>
      </x:c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 ht="70" customHeight="1">
      <x:c r="A167" s="20" t="str">
        <x:v>AS10.04</x:v>
      </x:c>
      <x:c r="B167" s="20" t="str">
        <x:v>Self-tests</x:v>
      </x:c>
      <x:c r="C167" s="20" t="str">
        <x:v>self-tests</x:v>
      </x:c>
      <x:c r="D167" s="20" t="str">
        <x:v>Required</x:v>
      </x:c>
      <x:c r="E167" s="20" t="str">
        <x:v>Baseline Level 1 requirement for the proposed module, subject to the cited NIST modification or replacement.</x:v>
      </x:c>
      <x:c r="F167" s="20" t="str">
        <x:v>ISO/IEC 19790:2012 §7.10</x:v>
      </x:c>
      <x:c r="G167" s="20" t="str">
        <x:v>ISO/IEC 24759:2017 §6.10, AS10.04</x:v>
      </x:c>
      <x:c r="H167" s="20" t="str">
        <x:v>—</x:v>
      </x:c>
      <x:c r="I167" s="20" t="str">
        <x:v>—</x:v>
      </x:c>
      <x:c r="J167" s="20" t="str">
        <x:v>SP 800-140 §6.10 / IG §10</x:v>
      </x:c>
      <x:c r="K167" s="20" t="str">
        <x:v>Self-test design, vectors, failure injection, error-state behavior, and test records</x:v>
      </x:c>
      <x:c r="L167" s="20" t="str">
        <x:v>Architecture review</x:v>
      </x:c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 ht="70" customHeight="1">
      <x:c r="A168" s="20" t="str">
        <x:v>AS10.05</x:v>
      </x:c>
      <x:c r="B168" s="20" t="str">
        <x:v>Self-tests</x:v>
      </x:c>
      <x:c r="C168" s="20" t="str">
        <x:v>self-tests</x:v>
      </x:c>
      <x:c r="D168" s="20" t="str">
        <x:v>Required</x:v>
      </x:c>
      <x:c r="E168" s="20" t="str">
        <x:v>Baseline Level 1 requirement for the proposed module, subject to the cited NIST modification or replacement.</x:v>
      </x:c>
      <x:c r="F168" s="20" t="str">
        <x:v>ISO/IEC 19790:2012 §7.10</x:v>
      </x:c>
      <x:c r="G168" s="20" t="str">
        <x:v>ISO/IEC 24759:2017 §6.10, AS10.05</x:v>
      </x:c>
      <x:c r="H168" s="20" t="str">
        <x:v>—</x:v>
      </x:c>
      <x:c r="I168" s="20" t="str">
        <x:v>—</x:v>
      </x:c>
      <x:c r="J168" s="20" t="str">
        <x:v>SP 800-140 §6.10 / IG §10</x:v>
      </x:c>
      <x:c r="K168" s="20" t="str">
        <x:v>Self-test design, vectors, failure injection, error-state behavior, and test records</x:v>
      </x:c>
      <x:c r="L168" s="20" t="str">
        <x:v>Architecture review</x:v>
      </x:c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 ht="70" customHeight="1">
      <x:c r="A169" s="20" t="str">
        <x:v>AS10.06</x:v>
      </x:c>
      <x:c r="B169" s="20" t="str">
        <x:v>Self-tests</x:v>
      </x:c>
      <x:c r="C169" s="20" t="str">
        <x:v>approved functions; authentication; SSP establishment</x:v>
      </x:c>
      <x:c r="D169" s="20" t="str">
        <x:v>Required</x:v>
      </x:c>
      <x:c r="E169" s="20" t="str">
        <x:v>Baseline Level 1 requirement for the proposed module, subject to the cited NIST modification or replacement.</x:v>
      </x:c>
      <x:c r="F169" s="20" t="str">
        <x:v>ISO/IEC 19790:2012 §7.10</x:v>
      </x:c>
      <x:c r="G169" s="20" t="str">
        <x:v>ISO/IEC 24759:2017 §6.10, AS10.06</x:v>
      </x:c>
      <x:c r="H169" s="20" t="str">
        <x:v>—</x:v>
      </x:c>
      <x:c r="I169" s="20" t="str">
        <x:v>—</x:v>
      </x:c>
      <x:c r="J169" s="20" t="str">
        <x:v>SP 800-140 §6.10 / IG §10</x:v>
      </x:c>
      <x:c r="K169" s="20" t="str">
        <x:v>Self-test design, vectors, failure injection, error-state behavior, and test records</x:v>
      </x:c>
      <x:c r="L169" s="20" t="str">
        <x:v>Architecture review</x:v>
      </x:c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 ht="70" customHeight="1">
      <x:c r="A170" s="20" t="str">
        <x:v>AS10.07</x:v>
      </x:c>
      <x:c r="B170" s="20" t="str">
        <x:v>Self-tests</x:v>
      </x:c>
      <x:c r="C170" s="20" t="str">
        <x:v>self-tests; error state</x:v>
      </x:c>
      <x:c r="D170" s="20" t="str">
        <x:v>Required</x:v>
      </x:c>
      <x:c r="E170" s="20" t="str">
        <x:v>Baseline Level 1 requirement for the proposed module, subject to the cited NIST modification or replacement.</x:v>
      </x:c>
      <x:c r="F170" s="20" t="str">
        <x:v>ISO/IEC 19790:2012 §7.10</x:v>
      </x:c>
      <x:c r="G170" s="20" t="str">
        <x:v>ISO/IEC 24759:2017 §6.10, AS10.07</x:v>
      </x:c>
      <x:c r="H170" s="20" t="str">
        <x:v>VE10.07.01</x:v>
      </x:c>
      <x:c r="I170" s="20" t="str">
        <x:v>TE10.07.01, TE10.07.02, TE10.07.03, TE10.07.04, TE10.07.05</x:v>
      </x:c>
      <x:c r="J170" s="20" t="str">
        <x:v>SP 800-140 §6.10 / IG §10</x:v>
      </x:c>
      <x:c r="K170" s="20" t="str">
        <x:v>Self-test design, vectors, failure injection, error-state behavior, and test records</x:v>
      </x:c>
      <x:c r="L170" s="20" t="str">
        <x:v>Architecture review</x:v>
      </x:c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 ht="70" customHeight="1">
      <x:c r="A171" s="20" t="str">
        <x:v>AS10.08</x:v>
      </x:c>
      <x:c r="B171" s="20" t="str">
        <x:v>Self-tests</x:v>
      </x:c>
      <x:c r="C171" s="20" t="str">
        <x:v>self-tests; error state</x:v>
      </x:c>
      <x:c r="D171" s="20" t="str">
        <x:v>Required</x:v>
      </x:c>
      <x:c r="E171" s="20" t="str">
        <x:v>Baseline Level 1 requirement for the proposed module, subject to the cited NIST modification or replacement.</x:v>
      </x:c>
      <x:c r="F171" s="20" t="str">
        <x:v>ISO/IEC 19790:2012 §7.10</x:v>
      </x:c>
      <x:c r="G171" s="20" t="str">
        <x:v>ISO/IEC 24759:2017 §6.10, AS10.08</x:v>
      </x:c>
      <x:c r="H171" s="20" t="str">
        <x:v>VE10.08.01</x:v>
      </x:c>
      <x:c r="I171" s="20" t="str">
        <x:v>TE10.08.01, TE10.08.02, TE10.08.03</x:v>
      </x:c>
      <x:c r="J171" s="20" t="str">
        <x:v>SP 800-140 §6.10 / IG §10</x:v>
      </x:c>
      <x:c r="K171" s="20" t="str">
        <x:v>Self-test design, vectors, failure injection, error-state behavior, and test records</x:v>
      </x:c>
      <x:c r="L171" s="20" t="str">
        <x:v>Architecture review</x:v>
      </x:c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 ht="70" customHeight="1">
      <x:c r="A172" s="20" t="str">
        <x:v>AS10.09</x:v>
      </x:c>
      <x:c r="B172" s="20" t="str">
        <x:v>Self-tests</x:v>
      </x:c>
      <x:c r="C172" s="20" t="str">
        <x:v>interfaces; data output; error state</x:v>
      </x:c>
      <x:c r="D172" s="20" t="str">
        <x:v>Required</x:v>
      </x:c>
      <x:c r="E172" s="20" t="str">
        <x:v>Baseline Level 1 requirement for the proposed module, subject to the cited NIST modification or replacement.</x:v>
      </x:c>
      <x:c r="F172" s="20" t="str">
        <x:v>ISO/IEC 19790:2012 §7.10</x:v>
      </x:c>
      <x:c r="G172" s="20" t="str">
        <x:v>ISO/IEC 24759:2017 §6.10, AS10.09</x:v>
      </x:c>
      <x:c r="H172" s="20" t="str">
        <x:v>VE10.09.01</x:v>
      </x:c>
      <x:c r="I172" s="20" t="str">
        <x:v>TE10.09.01, TE10.09.02, TE10.09.03</x:v>
      </x:c>
      <x:c r="J172" s="20" t="str">
        <x:v>SP 800-140 §6.10 / IG §10</x:v>
      </x:c>
      <x:c r="K172" s="20" t="str">
        <x:v>Self-test design, vectors, failure injection, error-state behavior, and test records</x:v>
      </x:c>
      <x:c r="L172" s="20" t="str">
        <x:v>Architecture review</x:v>
      </x:c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 ht="70" customHeight="1">
      <x:c r="A173" s="20" t="str">
        <x:v>AS10.10</x:v>
      </x:c>
      <x:c r="B173" s="20" t="str">
        <x:v>Self-tests</x:v>
      </x:c>
      <x:c r="C173" s="20" t="str">
        <x:v>self-tests</x:v>
      </x:c>
      <x:c r="D173" s="20" t="str">
        <x:v>Required</x:v>
      </x:c>
      <x:c r="E173" s="20" t="str">
        <x:v>Baseline Level 1 requirement for the proposed module, subject to the cited NIST modification or replacement.</x:v>
      </x:c>
      <x:c r="F173" s="20" t="str">
        <x:v>ISO/IEC 19790:2012 §7.10</x:v>
      </x:c>
      <x:c r="G173" s="20" t="str">
        <x:v>ISO/IEC 24759:2017 §6.10, AS10.10</x:v>
      </x:c>
      <x:c r="H173" s="20" t="str">
        <x:v>VE10.10.01</x:v>
      </x:c>
      <x:c r="I173" s="20" t="str">
        <x:v>TE10.10.01, TE10.10.02</x:v>
      </x:c>
      <x:c r="J173" s="20" t="str">
        <x:v>SP 800-140 §6.10 / IG §10</x:v>
      </x:c>
      <x:c r="K173" s="20" t="str">
        <x:v>Self-test design, vectors, failure injection, error-state behavior, and test records</x:v>
      </x:c>
      <x:c r="L173" s="20" t="str">
        <x:v>Architecture review</x:v>
      </x:c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 ht="70" customHeight="1">
      <x:c r="A174" s="20" t="str">
        <x:v>AS10.11</x:v>
      </x:c>
      <x:c r="B174" s="20" t="str">
        <x:v>Self-tests</x:v>
      </x:c>
      <x:c r="C174" s="20" t="str">
        <x:v>self-tests; error state</x:v>
      </x:c>
      <x:c r="D174" s="20" t="str">
        <x:v>Required</x:v>
      </x:c>
      <x:c r="E174" s="20" t="str">
        <x:v>Baseline Level 1 requirement for the proposed module, subject to the cited NIST modification or replacement.</x:v>
      </x:c>
      <x:c r="F174" s="20" t="str">
        <x:v>ISO/IEC 19790:2012 §7.10</x:v>
      </x:c>
      <x:c r="G174" s="20" t="str">
        <x:v>ISO/IEC 24759:2017 §6.10, AS10.11</x:v>
      </x:c>
      <x:c r="H174" s="20" t="str">
        <x:v>VE10.11.01</x:v>
      </x:c>
      <x:c r="I174" s="20" t="str">
        <x:v>TE10.11.01</x:v>
      </x:c>
      <x:c r="J174" s="20" t="str">
        <x:v>SP 800-140 §6.10 / IG §10</x:v>
      </x:c>
      <x:c r="K174" s="20" t="str">
        <x:v>Self-test design, vectors, failure injection, error-state behavior, and test records</x:v>
      </x:c>
      <x:c r="L174" s="20" t="str">
        <x:v>Architecture review</x:v>
      </x:c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 ht="70" customHeight="1">
      <x:c r="A175" s="20" t="str">
        <x:v>AS10.14</x:v>
      </x:c>
      <x:c r="B175" s="20" t="str">
        <x:v>Self-tests</x:v>
      </x:c>
      <x:c r="C175" s="20" t="str">
        <x:v>self-tests</x:v>
      </x:c>
      <x:c r="D175" s="20" t="str">
        <x:v>Required</x:v>
      </x:c>
      <x:c r="E175" s="20" t="str">
        <x:v>Baseline Level 1 requirement for the proposed module, subject to the cited NIST modification or replacement.</x:v>
      </x:c>
      <x:c r="F175" s="20" t="str">
        <x:v>ISO/IEC 19790:2012 §7.10</x:v>
      </x:c>
      <x:c r="G175" s="20" t="str">
        <x:v>ISO/IEC 24759:2017 §6.10, AS10.14</x:v>
      </x:c>
      <x:c r="H175" s="20" t="str">
        <x:v>—</x:v>
      </x:c>
      <x:c r="I175" s="20" t="str">
        <x:v>—</x:v>
      </x:c>
      <x:c r="J175" s="20" t="str">
        <x:v>SP 800-140 §6.10 / IG §10</x:v>
      </x:c>
      <x:c r="K175" s="20" t="str">
        <x:v>Self-test design, vectors, failure injection, error-state behavior, and test records</x:v>
      </x:c>
      <x:c r="L175" s="20" t="str">
        <x:v>Architecture review</x:v>
      </x:c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 ht="70" customHeight="1">
      <x:c r="A176" s="20" t="str">
        <x:v>AS10.15</x:v>
      </x:c>
      <x:c r="B176" s="20" t="str">
        <x:v>Self-tests</x:v>
      </x:c>
      <x:c r="C176" s="20" t="str">
        <x:v>self-tests</x:v>
      </x:c>
      <x:c r="D176" s="20" t="str">
        <x:v>Required</x:v>
      </x:c>
      <x:c r="E176" s="20" t="str">
        <x:v>Baseline Level 1 requirement for the proposed module, subject to the cited NIST modification or replacement.</x:v>
      </x:c>
      <x:c r="F176" s="20" t="str">
        <x:v>ISO/IEC 19790:2012 §7.10</x:v>
      </x:c>
      <x:c r="G176" s="20" t="str">
        <x:v>ISO/IEC 24759:2017 §6.10, AS10.15</x:v>
      </x:c>
      <x:c r="H176" s="20" t="str">
        <x:v>VE10.15.01, VE10.15.02</x:v>
      </x:c>
      <x:c r="I176" s="20" t="str">
        <x:v>TE10.15.01, TE10.15.02</x:v>
      </x:c>
      <x:c r="J176" s="20" t="str">
        <x:v>SP 800-140 §6.10 / IG §10</x:v>
      </x:c>
      <x:c r="K176" s="20" t="str">
        <x:v>Self-test design, vectors, failure injection, error-state behavior, and test records</x:v>
      </x:c>
      <x:c r="L176" s="20" t="str">
        <x:v>Architecture review</x:v>
      </x:c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 ht="70" customHeight="1">
      <x:c r="A177" s="20" t="str">
        <x:v>AS10.16</x:v>
      </x:c>
      <x:c r="B177" s="20" t="str">
        <x:v>Self-tests</x:v>
      </x:c>
      <x:c r="C177" s="20" t="str">
        <x:v>bypass; software integrity</x:v>
      </x:c>
      <x:c r="D177" s="20" t="str">
        <x:v>Conditional</x:v>
      </x:c>
      <x:c r="E177" s="20" t="str">
        <x:v>Applies only if the named optional mode, role, interface, or loading mechanism is present.</x:v>
      </x:c>
      <x:c r="F177" s="20" t="str">
        <x:v>ISO/IEC 19790:2012 §7.10</x:v>
      </x:c>
      <x:c r="G177" s="20" t="str">
        <x:v>ISO/IEC 24759:2017 §6.10, AS10.16</x:v>
      </x:c>
      <x:c r="H177" s="20" t="str">
        <x:v>—</x:v>
      </x:c>
      <x:c r="I177" s="20" t="str">
        <x:v>—</x:v>
      </x:c>
      <x:c r="J177" s="20" t="str">
        <x:v>SP 800-140 §6.10 / IG §10</x:v>
      </x:c>
      <x:c r="K177" s="20" t="str">
        <x:v>Self-test design, vectors, failure injection, error-state behavior, and test records</x:v>
      </x:c>
      <x:c r="L177" s="20" t="str">
        <x:v>Architecture review</x:v>
      </x:c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 ht="70" customHeight="1">
      <x:c r="A178" s="20" t="str">
        <x:v>AS10.17</x:v>
      </x:c>
      <x:c r="B178" s="20" t="str">
        <x:v>Self-tests</x:v>
      </x:c>
      <x:c r="C178" s="20" t="str">
        <x:v>boundary; software integrity</x:v>
      </x:c>
      <x:c r="D178" s="20" t="str">
        <x:v>Required</x:v>
      </x:c>
      <x:c r="E178" s="20" t="str">
        <x:v>Baseline Level 1 requirement for the proposed module, subject to the cited NIST modification or replacement.</x:v>
      </x:c>
      <x:c r="F178" s="20" t="str">
        <x:v>ISO/IEC 19790:2012 §7.10</x:v>
      </x:c>
      <x:c r="G178" s="20" t="str">
        <x:v>ISO/IEC 24759:2017 §6.10, AS10.17</x:v>
      </x:c>
      <x:c r="H178" s="20" t="str">
        <x:v>—</x:v>
      </x:c>
      <x:c r="I178" s="20" t="str">
        <x:v>—</x:v>
      </x:c>
      <x:c r="J178" s="20" t="str">
        <x:v>SP 800-140 §6.10 / IG §10</x:v>
      </x:c>
      <x:c r="K178" s="20" t="str">
        <x:v>Self-test design, vectors, failure injection, error-state behavior, and test records</x:v>
      </x:c>
      <x:c r="L178" s="20" t="str">
        <x:v>Architecture review</x:v>
      </x:c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 ht="70" customHeight="1">
      <x:c r="A179" s="20" t="str">
        <x:v>AS10.18</x:v>
      </x:c>
      <x:c r="B179" s="20" t="str">
        <x:v>Self-tests</x:v>
      </x:c>
      <x:c r="C179" s="20" t="str">
        <x:v>software integrity</x:v>
      </x:c>
      <x:c r="D179" s="20" t="str">
        <x:v>Required</x:v>
      </x:c>
      <x:c r="E179" s="20" t="str">
        <x:v>Baseline Level 1 requirement for the proposed module, subject to the cited NIST modification or replacement.</x:v>
      </x:c>
      <x:c r="F179" s="20" t="str">
        <x:v>ISO/IEC 19790:2012 §7.10</x:v>
      </x:c>
      <x:c r="G179" s="20" t="str">
        <x:v>ISO/IEC 24759:2017 §6.10, AS10.18</x:v>
      </x:c>
      <x:c r="H179" s="20" t="str">
        <x:v>—</x:v>
      </x:c>
      <x:c r="I179" s="20" t="str">
        <x:v>—</x:v>
      </x:c>
      <x:c r="J179" s="20" t="str">
        <x:v>SP 800-140 §6.10 / IG §10</x:v>
      </x:c>
      <x:c r="K179" s="20" t="str">
        <x:v>Self-test design, vectors, failure injection, error-state behavior, and test records</x:v>
      </x:c>
      <x:c r="L179" s="20" t="str">
        <x:v>Architecture review</x:v>
      </x:c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 ht="70" customHeight="1">
      <x:c r="A180" s="20" t="str">
        <x:v>AS10.19</x:v>
      </x:c>
      <x:c r="B180" s="20" t="str">
        <x:v>Self-tests</x:v>
      </x:c>
      <x:c r="C180" s="20" t="str">
        <x:v>module type; self-tests</x:v>
      </x:c>
      <x:c r="D180" s="20" t="str">
        <x:v>Not applicable</x:v>
      </x:c>
      <x:c r="E180" s="20" t="str">
        <x:v>Embodiment-specific requirement does not apply to the proposed pure-software module.</x:v>
      </x:c>
      <x:c r="F180" s="20" t="str">
        <x:v>ISO/IEC 19790:2012 §7.10</x:v>
      </x:c>
      <x:c r="G180" s="20" t="str">
        <x:v>ISO/IEC 24759:2017 §6.10, AS10.19</x:v>
      </x:c>
      <x:c r="H180" s="20" t="str">
        <x:v>—</x:v>
      </x:c>
      <x:c r="I180" s="20" t="str">
        <x:v>—</x:v>
      </x:c>
      <x:c r="J180" s="20" t="str">
        <x:v>SP 800-140 §6.10 / IG §10</x:v>
      </x:c>
      <x:c r="K180" s="20" t="str">
        <x:v>Self-test design, vectors, failure injection, error-state behavior, and test records</x:v>
      </x:c>
      <x:c r="L180" s="20" t="str">
        <x:v>Architecture review</x:v>
      </x:c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 ht="70" customHeight="1">
      <x:c r="A181" s="20" t="str">
        <x:v>AS10.20</x:v>
      </x:c>
      <x:c r="B181" s="20" t="str">
        <x:v>Self-tests</x:v>
      </x:c>
      <x:c r="C181" s="20" t="str">
        <x:v>approved functions; software integrity; self-tests</x:v>
      </x:c>
      <x:c r="D181" s="20" t="str">
        <x:v>Required</x:v>
      </x:c>
      <x:c r="E181" s="20" t="str">
        <x:v>Baseline Level 1 requirement for the proposed module, subject to the cited NIST modification or replacement.</x:v>
      </x:c>
      <x:c r="F181" s="20" t="str">
        <x:v>ISO/IEC 19790:2012 §7.10</x:v>
      </x:c>
      <x:c r="G181" s="20" t="str">
        <x:v>ISO/IEC 24759:2017 §6.10, AS10.20</x:v>
      </x:c>
      <x:c r="H181" s="20" t="str">
        <x:v>VE10.20.01</x:v>
      </x:c>
      <x:c r="I181" s="20" t="str">
        <x:v>TE10.20.01</x:v>
      </x:c>
      <x:c r="J181" s="20" t="str">
        <x:v>SP 800-140 §6.10 / IG §10</x:v>
      </x:c>
      <x:c r="K181" s="20" t="str">
        <x:v>Self-test design, vectors, failure injection, error-state behavior, and test records</x:v>
      </x:c>
      <x:c r="L181" s="20" t="str">
        <x:v>Architecture review</x:v>
      </x:c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 ht="70" customHeight="1">
      <x:c r="A182" s="20" t="str">
        <x:v>AS10.21</x:v>
      </x:c>
      <x:c r="B182" s="20" t="str">
        <x:v>Self-tests</x:v>
      </x:c>
      <x:c r="C182" s="20" t="str">
        <x:v>bypass</x:v>
      </x:c>
      <x:c r="D182" s="20" t="str">
        <x:v>Conditional</x:v>
      </x:c>
      <x:c r="E182" s="20" t="str">
        <x:v>Applies only if the named optional mode, role, interface, or loading mechanism is present.</x:v>
      </x:c>
      <x:c r="F182" s="20" t="str">
        <x:v>ISO/IEC 19790:2012 §7.10</x:v>
      </x:c>
      <x:c r="G182" s="20" t="str">
        <x:v>ISO/IEC 24759:2017 §6.10, AS10.21</x:v>
      </x:c>
      <x:c r="H182" s="20" t="str">
        <x:v>VE10.21.01</x:v>
      </x:c>
      <x:c r="I182" s="20" t="str">
        <x:v>TE10.21.01, TE10.21.02, TE10.21.03, TE10.21.04</x:v>
      </x:c>
      <x:c r="J182" s="20" t="str">
        <x:v>SP 800-140 §6.10 / IG §10</x:v>
      </x:c>
      <x:c r="K182" s="20" t="str">
        <x:v>Self-test design, vectors, failure injection, error-state behavior, and test records</x:v>
      </x:c>
      <x:c r="L182" s="20" t="str">
        <x:v>Architecture review</x:v>
      </x:c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 ht="70" customHeight="1">
      <x:c r="A183" s="20" t="str">
        <x:v>AS10.22</x:v>
      </x:c>
      <x:c r="B183" s="20" t="str">
        <x:v>Self-tests</x:v>
      </x:c>
      <x:c r="C183" s="20" t="str">
        <x:v>bypass</x:v>
      </x:c>
      <x:c r="D183" s="20" t="str">
        <x:v>Conditional</x:v>
      </x:c>
      <x:c r="E183" s="20" t="str">
        <x:v>Applies only if the named optional mode, role, interface, or loading mechanism is present.</x:v>
      </x:c>
      <x:c r="F183" s="20" t="str">
        <x:v>ISO/IEC 19790:2012 §7.10</x:v>
      </x:c>
      <x:c r="G183" s="20" t="str">
        <x:v>ISO/IEC 24759:2017 §6.10, AS10.22</x:v>
      </x:c>
      <x:c r="H183" s="20" t="str">
        <x:v>VE10.22.01, VE10.22.02, VE10.22.03, VE10.22.04</x:v>
      </x:c>
      <x:c r="I183" s="20" t="str">
        <x:v>TE10.22.01, TE10.22.02, TE10.22.03, TE10.22.04, TE10.22.05</x:v>
      </x:c>
      <x:c r="J183" s="20" t="str">
        <x:v>SP 800-140 §6.10 / IG §10</x:v>
      </x:c>
      <x:c r="K183" s="20" t="str">
        <x:v>Self-test design, vectors, failure injection, error-state behavior, and test records</x:v>
      </x:c>
      <x:c r="L183" s="20" t="str">
        <x:v>Architecture review</x:v>
      </x:c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 ht="70" customHeight="1">
      <x:c r="A184" s="20" t="str">
        <x:v>AS10.23</x:v>
      </x:c>
      <x:c r="B184" s="20" t="str">
        <x:v>Self-tests</x:v>
      </x:c>
      <x:c r="C184" s="20" t="str">
        <x:v>self-tests</x:v>
      </x:c>
      <x:c r="D184" s="20" t="str">
        <x:v>Required</x:v>
      </x:c>
      <x:c r="E184" s="20" t="str">
        <x:v>Baseline Level 1 requirement for the proposed module, subject to the cited NIST modification or replacement.</x:v>
      </x:c>
      <x:c r="F184" s="20" t="str">
        <x:v>ISO/IEC 19790:2012 §7.10</x:v>
      </x:c>
      <x:c r="G184" s="20" t="str">
        <x:v>ISO/IEC 24759:2017 §6.10, AS10.23</x:v>
      </x:c>
      <x:c r="H184" s="20" t="str">
        <x:v>—</x:v>
      </x:c>
      <x:c r="I184" s="20" t="str">
        <x:v>—</x:v>
      </x:c>
      <x:c r="J184" s="20" t="str">
        <x:v>SP 800-140 §6.10 / IG §10</x:v>
      </x:c>
      <x:c r="K184" s="20" t="str">
        <x:v>Self-test design, vectors, failure injection, error-state behavior, and test records</x:v>
      </x:c>
      <x:c r="L184" s="20" t="str">
        <x:v>Architecture review</x:v>
      </x:c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 ht="70" customHeight="1">
      <x:c r="A185" s="20" t="str">
        <x:v>AS10.24</x:v>
      </x:c>
      <x:c r="B185" s="20" t="str">
        <x:v>Self-tests</x:v>
      </x:c>
      <x:c r="C185" s="20" t="str">
        <x:v>bypass; SSP generation</x:v>
      </x:c>
      <x:c r="D185" s="20" t="str">
        <x:v>Conditional</x:v>
      </x:c>
      <x:c r="E185" s="20" t="str">
        <x:v>Applies only if the named optional mode, role, interface, or loading mechanism is present.</x:v>
      </x:c>
      <x:c r="F185" s="20" t="str">
        <x:v>ISO/IEC 19790:2012 §7.10</x:v>
      </x:c>
      <x:c r="G185" s="20" t="str">
        <x:v>ISO/IEC 24759:2017 §6.10, AS10.24</x:v>
      </x:c>
      <x:c r="H185" s="20" t="str">
        <x:v>VE10.24.01</x:v>
      </x:c>
      <x:c r="I185" s="20" t="str">
        <x:v>TE10.24.01, TE10.24.02</x:v>
      </x:c>
      <x:c r="J185" s="20" t="str">
        <x:v>SP 800-140 §6.10 / IG §10</x:v>
      </x:c>
      <x:c r="K185" s="20" t="str">
        <x:v>Self-test design, vectors, failure injection, error-state behavior, and test records</x:v>
      </x:c>
      <x:c r="L185" s="20" t="str">
        <x:v>Architecture review</x:v>
      </x:c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 ht="70" customHeight="1">
      <x:c r="A186" s="20" t="str">
        <x:v>AS10.25</x:v>
      </x:c>
      <x:c r="B186" s="20" t="str">
        <x:v>Self-tests</x:v>
      </x:c>
      <x:c r="C186" s="20" t="str">
        <x:v>bypass; self-tests</x:v>
      </x:c>
      <x:c r="D186" s="20" t="str">
        <x:v>Conditional</x:v>
      </x:c>
      <x:c r="E186" s="20" t="str">
        <x:v>Applies only if the named optional mode, role, interface, or loading mechanism is present.</x:v>
      </x:c>
      <x:c r="F186" s="20" t="str">
        <x:v>ISO/IEC 19790:2012 §7.10</x:v>
      </x:c>
      <x:c r="G186" s="20" t="str">
        <x:v>ISO/IEC 24759:2017 §6.10, AS10.25</x:v>
      </x:c>
      <x:c r="H186" s="20" t="str">
        <x:v>VE10.25.01</x:v>
      </x:c>
      <x:c r="I186" s="20" t="str">
        <x:v>TE10.25.01, TE10.25.02</x:v>
      </x:c>
      <x:c r="J186" s="20" t="str">
        <x:v>SP 800-140 §6.10 / IG §10</x:v>
      </x:c>
      <x:c r="K186" s="20" t="str">
        <x:v>Self-test design, vectors, failure injection, error-state behavior, and test records</x:v>
      </x:c>
      <x:c r="L186" s="20" t="str">
        <x:v>Architecture review</x:v>
      </x:c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 ht="70" customHeight="1">
      <x:c r="A187" s="20" t="str">
        <x:v>AS10.26</x:v>
      </x:c>
      <x:c r="B187" s="20" t="str">
        <x:v>Self-tests</x:v>
      </x:c>
      <x:c r="C187" s="20" t="str">
        <x:v>approved functions; authentication; SSP establishment</x:v>
      </x:c>
      <x:c r="D187" s="20" t="str">
        <x:v>Conditional</x:v>
      </x:c>
      <x:c r="E187" s="20" t="str">
        <x:v>Level 1 permits implicit role assumption; this applies only if an authentication mechanism is implemented.</x:v>
      </x:c>
      <x:c r="F187" s="20" t="str">
        <x:v>ISO/IEC 19790:2012 §7.10</x:v>
      </x:c>
      <x:c r="G187" s="20" t="str">
        <x:v>ISO/IEC 24759:2017 §6.10, AS10.26</x:v>
      </x:c>
      <x:c r="H187" s="20" t="str">
        <x:v>—</x:v>
      </x:c>
      <x:c r="I187" s="20" t="str">
        <x:v>—</x:v>
      </x:c>
      <x:c r="J187" s="20" t="str">
        <x:v>SP 800-140 §6.10 / IG §10</x:v>
      </x:c>
      <x:c r="K187" s="20" t="str">
        <x:v>Self-test design, vectors, failure injection, error-state behavior, and test records</x:v>
      </x:c>
      <x:c r="L187" s="20" t="str">
        <x:v>Architecture review</x:v>
      </x:c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 ht="70" customHeight="1">
      <x:c r="A188" s="20" t="str">
        <x:v>AS10.27</x:v>
      </x:c>
      <x:c r="B188" s="20" t="str">
        <x:v>Self-tests</x:v>
      </x:c>
      <x:c r="C188" s="20" t="str">
        <x:v>self-tests</x:v>
      </x:c>
      <x:c r="D188" s="20" t="str">
        <x:v>Required</x:v>
      </x:c>
      <x:c r="E188" s="20" t="str">
        <x:v>Baseline Level 1 requirement for the proposed module, subject to the cited NIST modification or replacement.</x:v>
      </x:c>
      <x:c r="F188" s="20" t="str">
        <x:v>ISO/IEC 19790:2012 §7.10</x:v>
      </x:c>
      <x:c r="G188" s="20" t="str">
        <x:v>ISO/IEC 24759:2017 §6.10, AS10.27</x:v>
      </x:c>
      <x:c r="H188" s="20" t="str">
        <x:v>VE10.27.01, VE10.27.02, VE10.27.03</x:v>
      </x:c>
      <x:c r="I188" s="20" t="str">
        <x:v>TE10.27.01</x:v>
      </x:c>
      <x:c r="J188" s="20" t="str">
        <x:v>SP 800-140 §6.10 / IG §10</x:v>
      </x:c>
      <x:c r="K188" s="20" t="str">
        <x:v>Self-test design, vectors, failure injection, error-state behavior, and test records</x:v>
      </x:c>
      <x:c r="L188" s="20" t="str">
        <x:v>Architecture review</x:v>
      </x:c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 ht="70" customHeight="1">
      <x:c r="A189" s="20" t="str">
        <x:v>AS10.28</x:v>
      </x:c>
      <x:c r="B189" s="20" t="str">
        <x:v>Self-tests</x:v>
      </x:c>
      <x:c r="C189" s="20" t="str">
        <x:v>self-tests</x:v>
      </x:c>
      <x:c r="D189" s="20" t="str">
        <x:v>Required</x:v>
      </x:c>
      <x:c r="E189" s="20" t="str">
        <x:v>Baseline Level 1 requirement for the proposed module, subject to the cited NIST modification or replacement.</x:v>
      </x:c>
      <x:c r="F189" s="20" t="str">
        <x:v>ISO/IEC 19790:2012 §7.10</x:v>
      </x:c>
      <x:c r="G189" s="20" t="str">
        <x:v>ISO/IEC 24759:2017 §6.10, AS10.28</x:v>
      </x:c>
      <x:c r="H189" s="20" t="str">
        <x:v>VE10.28.01, VE10.28.02</x:v>
      </x:c>
      <x:c r="I189" s="20" t="str">
        <x:v>TE10.28.01, TE10.28.02</x:v>
      </x:c>
      <x:c r="J189" s="20" t="str">
        <x:v>SP 800-140 §6.10 / IG §10</x:v>
      </x:c>
      <x:c r="K189" s="20" t="str">
        <x:v>Self-test design, vectors, failure injection, error-state behavior, and test records</x:v>
      </x:c>
      <x:c r="L189" s="20" t="str">
        <x:v>Architecture review</x:v>
      </x:c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 ht="70" customHeight="1">
      <x:c r="A190" s="20" t="str">
        <x:v>AS10.29</x:v>
      </x:c>
      <x:c r="B190" s="20" t="str">
        <x:v>Self-tests</x:v>
      </x:c>
      <x:c r="C190" s="20" t="str">
        <x:v>self-tests</x:v>
      </x:c>
      <x:c r="D190" s="20" t="str">
        <x:v>Required</x:v>
      </x:c>
      <x:c r="E190" s="20" t="str">
        <x:v>Baseline Level 1 requirement for the proposed module, subject to the cited NIST modification or replacement.</x:v>
      </x:c>
      <x:c r="F190" s="20" t="str">
        <x:v>ISO/IEC 19790:2012 §7.10</x:v>
      </x:c>
      <x:c r="G190" s="20" t="str">
        <x:v>ISO/IEC 24759:2017 §6.10, AS10.29</x:v>
      </x:c>
      <x:c r="H190" s="20" t="str">
        <x:v>VE10.29.01</x:v>
      </x:c>
      <x:c r="I190" s="20" t="str">
        <x:v>TE10.29.01</x:v>
      </x:c>
      <x:c r="J190" s="20" t="str">
        <x:v>SP 800-140 §6.10 / IG §10</x:v>
      </x:c>
      <x:c r="K190" s="20" t="str">
        <x:v>Self-test design, vectors, failure injection, error-state behavior, and test records</x:v>
      </x:c>
      <x:c r="L190" s="20" t="str">
        <x:v>Architecture review</x:v>
      </x:c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 ht="70" customHeight="1">
      <x:c r="A191" s="20" t="str">
        <x:v>AS10.30</x:v>
      </x:c>
      <x:c r="B191" s="20" t="str">
        <x:v>Self-tests</x:v>
      </x:c>
      <x:c r="C191" s="20" t="str">
        <x:v>self-tests</x:v>
      </x:c>
      <x:c r="D191" s="20" t="str">
        <x:v>Required</x:v>
      </x:c>
      <x:c r="E191" s="20" t="str">
        <x:v>Baseline Level 1 requirement for the proposed module, subject to the cited NIST modification or replacement.</x:v>
      </x:c>
      <x:c r="F191" s="20" t="str">
        <x:v>ISO/IEC 19790:2012 §7.10</x:v>
      </x:c>
      <x:c r="G191" s="20" t="str">
        <x:v>ISO/IEC 24759:2017 §6.10, AS10.30</x:v>
      </x:c>
      <x:c r="H191" s="20" t="str">
        <x:v>—</x:v>
      </x:c>
      <x:c r="I191" s="20" t="str">
        <x:v>—</x:v>
      </x:c>
      <x:c r="J191" s="20" t="str">
        <x:v>SP 800-140 §6.10 / IG §10</x:v>
      </x:c>
      <x:c r="K191" s="20" t="str">
        <x:v>Self-test design, vectors, failure injection, error-state behavior, and test records</x:v>
      </x:c>
      <x:c r="L191" s="20" t="str">
        <x:v>Architecture review</x:v>
      </x:c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 ht="70" customHeight="1">
      <x:c r="A192" s="20" t="str">
        <x:v>AS10.31</x:v>
      </x:c>
      <x:c r="B192" s="20" t="str">
        <x:v>Self-tests</x:v>
      </x:c>
      <x:c r="C192" s="20" t="str">
        <x:v>authentication; SSP generation</x:v>
      </x:c>
      <x:c r="D192" s="20" t="str">
        <x:v>Conditional</x:v>
      </x:c>
      <x:c r="E192" s="20" t="str">
        <x:v>Level 1 permits implicit role assumption; this applies only if an authentication mechanism is implemented.</x:v>
      </x:c>
      <x:c r="F192" s="20" t="str">
        <x:v>ISO/IEC 19790:2012 §7.10</x:v>
      </x:c>
      <x:c r="G192" s="20" t="str">
        <x:v>ISO/IEC 24759:2017 §6.10, AS10.31</x:v>
      </x:c>
      <x:c r="H192" s="20" t="str">
        <x:v>—</x:v>
      </x:c>
      <x:c r="I192" s="20" t="str">
        <x:v>—</x:v>
      </x:c>
      <x:c r="J192" s="20" t="str">
        <x:v>SP 800-140 §6.10 / IG §10</x:v>
      </x:c>
      <x:c r="K192" s="20" t="str">
        <x:v>Self-test design, vectors, failure injection, error-state behavior, and test records</x:v>
      </x:c>
      <x:c r="L192" s="20" t="str">
        <x:v>Architecture review</x:v>
      </x:c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 ht="70" customHeight="1">
      <x:c r="A193" s="20" t="str">
        <x:v>AS10.32</x:v>
      </x:c>
      <x:c r="B193" s="20" t="str">
        <x:v>Self-tests</x:v>
      </x:c>
      <x:c r="C193" s="20" t="str">
        <x:v>self-tests</x:v>
      </x:c>
      <x:c r="D193" s="20" t="str">
        <x:v>Required</x:v>
      </x:c>
      <x:c r="E193" s="20" t="str">
        <x:v>Baseline Level 1 requirement for the proposed module, subject to the cited NIST modification or replacement.</x:v>
      </x:c>
      <x:c r="F193" s="20" t="str">
        <x:v>ISO/IEC 19790:2012 §7.10</x:v>
      </x:c>
      <x:c r="G193" s="20" t="str">
        <x:v>ISO/IEC 24759:2017 §6.10, AS10.32</x:v>
      </x:c>
      <x:c r="H193" s="20" t="str">
        <x:v>—</x:v>
      </x:c>
      <x:c r="I193" s="20" t="str">
        <x:v>—</x:v>
      </x:c>
      <x:c r="J193" s="20" t="str">
        <x:v>SP 800-140 §6.10 / IG §10</x:v>
      </x:c>
      <x:c r="K193" s="20" t="str">
        <x:v>Self-test design, vectors, failure injection, error-state behavior, and test records</x:v>
      </x:c>
      <x:c r="L193" s="20" t="str">
        <x:v>Architecture review</x:v>
      </x:c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 ht="70" customHeight="1">
      <x:c r="A194" s="20" t="str">
        <x:v>AS10.33</x:v>
      </x:c>
      <x:c r="B194" s="20" t="str">
        <x:v>Self-tests</x:v>
      </x:c>
      <x:c r="C194" s="20" t="str">
        <x:v>self-tests</x:v>
      </x:c>
      <x:c r="D194" s="20" t="str">
        <x:v>Required</x:v>
      </x:c>
      <x:c r="E194" s="20" t="str">
        <x:v>Baseline Level 1 requirement for the proposed module, subject to the cited NIST modification or replacement.</x:v>
      </x:c>
      <x:c r="F194" s="20" t="str">
        <x:v>ISO/IEC 19790:2012 §7.10</x:v>
      </x:c>
      <x:c r="G194" s="20" t="str">
        <x:v>ISO/IEC 24759:2017 §6.10, AS10.33</x:v>
      </x:c>
      <x:c r="H194" s="20" t="str">
        <x:v>VE10.33.01, VE10.33.02</x:v>
      </x:c>
      <x:c r="I194" s="20" t="str">
        <x:v>TE10.33.01, TE10.33.02</x:v>
      </x:c>
      <x:c r="J194" s="20" t="str">
        <x:v>SP 800-140 §6.10 / IG §10</x:v>
      </x:c>
      <x:c r="K194" s="20" t="str">
        <x:v>Self-test design, vectors, failure injection, error-state behavior, and test records</x:v>
      </x:c>
      <x:c r="L194" s="20" t="str">
        <x:v>Architecture review</x:v>
      </x:c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 ht="70" customHeight="1">
      <x:c r="A195" s="20" t="str">
        <x:v>AS10.34</x:v>
      </x:c>
      <x:c r="B195" s="20" t="str">
        <x:v>Self-tests</x:v>
      </x:c>
      <x:c r="C195" s="20" t="str">
        <x:v>SSP generation; self-tests</x:v>
      </x:c>
      <x:c r="D195" s="20" t="str">
        <x:v>Required</x:v>
      </x:c>
      <x:c r="E195" s="20" t="str">
        <x:v>Baseline Level 1 requirement for the proposed module, subject to the cited NIST modification or replacement.</x:v>
      </x:c>
      <x:c r="F195" s="20" t="str">
        <x:v>ISO/IEC 19790:2012 §7.10</x:v>
      </x:c>
      <x:c r="G195" s="20" t="str">
        <x:v>ISO/IEC 24759:2017 §6.10, AS10.34</x:v>
      </x:c>
      <x:c r="H195" s="20" t="str">
        <x:v>VE10.34.01</x:v>
      </x:c>
      <x:c r="I195" s="20" t="str">
        <x:v>TE10.34.01, TE10.34.02, TE10.34.03</x:v>
      </x:c>
      <x:c r="J195" s="20" t="str">
        <x:v>SP 800-140 §6.10 / IG §10</x:v>
      </x:c>
      <x:c r="K195" s="20" t="str">
        <x:v>Self-test design, vectors, failure injection, error-state behavior, and test records</x:v>
      </x:c>
      <x:c r="L195" s="20" t="str">
        <x:v>Architecture review</x:v>
      </x:c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 ht="70" customHeight="1">
      <x:c r="A196" s="20" t="str">
        <x:v>AS10.35</x:v>
      </x:c>
      <x:c r="B196" s="20" t="str">
        <x:v>Self-tests</x:v>
      </x:c>
      <x:c r="C196" s="20" t="str">
        <x:v>self-tests</x:v>
      </x:c>
      <x:c r="D196" s="20" t="str">
        <x:v>Required</x:v>
      </x:c>
      <x:c r="E196" s="20" t="str">
        <x:v>Baseline Level 1 requirement for the proposed module, subject to the cited NIST modification or replacement.</x:v>
      </x:c>
      <x:c r="F196" s="20" t="str">
        <x:v>ISO/IEC 19790:2012 §7.10</x:v>
      </x:c>
      <x:c r="G196" s="20" t="str">
        <x:v>ISO/IEC 24759:2017 §6.10, AS10.35</x:v>
      </x:c>
      <x:c r="H196" s="20" t="str">
        <x:v>VE10.35.01, VE10.35.02, VE10.35.03</x:v>
      </x:c>
      <x:c r="I196" s="20" t="str">
        <x:v>TE10.35.01, TE10.35.02, TE10.35.03, TE10.35.04</x:v>
      </x:c>
      <x:c r="J196" s="20" t="str">
        <x:v>SP 800-140 §6.10 / IG §10</x:v>
      </x:c>
      <x:c r="K196" s="20" t="str">
        <x:v>Self-test design, vectors, failure injection, error-state behavior, and test records</x:v>
      </x:c>
      <x:c r="L196" s="20" t="str">
        <x:v>Architecture review</x:v>
      </x:c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 ht="70" customHeight="1">
      <x:c r="A197" s="20" t="str">
        <x:v>AS10.36</x:v>
      </x:c>
      <x:c r="B197" s="20" t="str">
        <x:v>Self-tests</x:v>
      </x:c>
      <x:c r="C197" s="20" t="str">
        <x:v>software loading</x:v>
      </x:c>
      <x:c r="D197" s="20" t="str">
        <x:v>Required</x:v>
      </x:c>
      <x:c r="E197" s="20" t="str">
        <x:v>Baseline Level 1 requirement for the proposed module, subject to the cited NIST modification or replacement.</x:v>
      </x:c>
      <x:c r="F197" s="20" t="str">
        <x:v>ISO/IEC 19790:2012 §7.10</x:v>
      </x:c>
      <x:c r="G197" s="20" t="str">
        <x:v>ISO/IEC 24759:2017 §6.10, AS10.36</x:v>
      </x:c>
      <x:c r="H197" s="20" t="str">
        <x:v>—</x:v>
      </x:c>
      <x:c r="I197" s="20" t="str">
        <x:v>—</x:v>
      </x:c>
      <x:c r="J197" s="20" t="str">
        <x:v>SP 800-140 §6.10 / IG §10</x:v>
      </x:c>
      <x:c r="K197" s="20" t="str">
        <x:v>Self-test design, vectors, failure injection, error-state behavior, and test records</x:v>
      </x:c>
      <x:c r="L197" s="20" t="str">
        <x:v>Architecture review</x:v>
      </x:c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 ht="70" customHeight="1">
      <x:c r="A198" s="20" t="str">
        <x:v>AS10.37</x:v>
      </x:c>
      <x:c r="B198" s="20" t="str">
        <x:v>Self-tests</x:v>
      </x:c>
      <x:c r="C198" s="20" t="str">
        <x:v>authentication</x:v>
      </x:c>
      <x:c r="D198" s="20" t="str">
        <x:v>Conditional</x:v>
      </x:c>
      <x:c r="E198" s="20" t="str">
        <x:v>Level 1 permits implicit role assumption; this applies only if an authentication mechanism is implemented.</x:v>
      </x:c>
      <x:c r="F198" s="20" t="str">
        <x:v>ISO/IEC 19790:2012 §7.10</x:v>
      </x:c>
      <x:c r="G198" s="20" t="str">
        <x:v>ISO/IEC 24759:2017 §6.10, AS10.37</x:v>
      </x:c>
      <x:c r="H198" s="20" t="str">
        <x:v>VE10.37.01, VE10.37.02, VE10.37.03, VE10.37.04</x:v>
      </x:c>
      <x:c r="I198" s="20" t="str">
        <x:v>TE10.37.01, TE10.37.02, TE10.37.03, TE10.37.04, TE10.37.05, TE10.37.06, TE10.37.07, TE10.37.08, TE10.37.09</x:v>
      </x:c>
      <x:c r="J198" s="20" t="str">
        <x:v>SP 800-140 §6.10 / IG §10</x:v>
      </x:c>
      <x:c r="K198" s="20" t="str">
        <x:v>Self-test design, vectors, failure injection, error-state behavior, and test records</x:v>
      </x:c>
      <x:c r="L198" s="20" t="str">
        <x:v>Architecture review</x:v>
      </x:c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 ht="70" customHeight="1">
      <x:c r="A199" s="20" t="str">
        <x:v>AS10.38</x:v>
      </x:c>
      <x:c r="B199" s="20" t="str">
        <x:v>Self-tests</x:v>
      </x:c>
      <x:c r="C199" s="20" t="str">
        <x:v>authentication; software loading</x:v>
      </x:c>
      <x:c r="D199" s="20" t="str">
        <x:v>Conditional</x:v>
      </x:c>
      <x:c r="E199" s="20" t="str">
        <x:v>Level 1 permits implicit role assumption; this applies only if an authentication mechanism is implemented.</x:v>
      </x:c>
      <x:c r="F199" s="20" t="str">
        <x:v>ISO/IEC 19790:2012 §7.10</x:v>
      </x:c>
      <x:c r="G199" s="20" t="str">
        <x:v>ISO/IEC 24759:2017 §6.10, AS10.38</x:v>
      </x:c>
      <x:c r="H199" s="20" t="str">
        <x:v>—</x:v>
      </x:c>
      <x:c r="I199" s="20" t="str">
        <x:v>—</x:v>
      </x:c>
      <x:c r="J199" s="20" t="str">
        <x:v>SP 800-140 §6.10 / IG §10</x:v>
      </x:c>
      <x:c r="K199" s="20" t="str">
        <x:v>Self-test design, vectors, failure injection, error-state behavior, and test records</x:v>
      </x:c>
      <x:c r="L199" s="20" t="str">
        <x:v>Architecture review</x:v>
      </x:c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 ht="70" customHeight="1">
      <x:c r="A200" s="20" t="str">
        <x:v>AS10.39</x:v>
      </x:c>
      <x:c r="B200" s="20" t="str">
        <x:v>Self-tests</x:v>
      </x:c>
      <x:c r="C200" s="20" t="str">
        <x:v>authentication</x:v>
      </x:c>
      <x:c r="D200" s="20" t="str">
        <x:v>Conditional</x:v>
      </x:c>
      <x:c r="E200" s="20" t="str">
        <x:v>Level 1 permits implicit role assumption; this applies only if an authentication mechanism is implemented.</x:v>
      </x:c>
      <x:c r="F200" s="20" t="str">
        <x:v>ISO/IEC 19790:2012 §7.10</x:v>
      </x:c>
      <x:c r="G200" s="20" t="str">
        <x:v>ISO/IEC 24759:2017 §6.10, AS10.39</x:v>
      </x:c>
      <x:c r="H200" s="20" t="str">
        <x:v>—</x:v>
      </x:c>
      <x:c r="I200" s="20" t="str">
        <x:v>—</x:v>
      </x:c>
      <x:c r="J200" s="20" t="str">
        <x:v>SP 800-140 §6.10 / IG §10</x:v>
      </x:c>
      <x:c r="K200" s="20" t="str">
        <x:v>Self-test design, vectors, failure injection, error-state behavior, and test records</x:v>
      </x:c>
      <x:c r="L200" s="20" t="str">
        <x:v>Architecture review</x:v>
      </x:c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 ht="70" customHeight="1">
      <x:c r="A201" s="20" t="str">
        <x:v>AS10.40</x:v>
      </x:c>
      <x:c r="B201" s="20" t="str">
        <x:v>Self-tests</x:v>
      </x:c>
      <x:c r="C201" s="20" t="str">
        <x:v>authentication</x:v>
      </x:c>
      <x:c r="D201" s="20" t="str">
        <x:v>Conditional</x:v>
      </x:c>
      <x:c r="E201" s="20" t="str">
        <x:v>Level 1 permits implicit role assumption; this applies only if an authentication mechanism is implemented.</x:v>
      </x:c>
      <x:c r="F201" s="20" t="str">
        <x:v>ISO/IEC 19790:2012 §7.10</x:v>
      </x:c>
      <x:c r="G201" s="20" t="str">
        <x:v>ISO/IEC 24759:2017 §6.10, AS10.40</x:v>
      </x:c>
      <x:c r="H201" s="20" t="str">
        <x:v>—</x:v>
      </x:c>
      <x:c r="I201" s="20" t="str">
        <x:v>—</x:v>
      </x:c>
      <x:c r="J201" s="20" t="str">
        <x:v>SP 800-140 §6.10 / IG §10</x:v>
      </x:c>
      <x:c r="K201" s="20" t="str">
        <x:v>Self-test design, vectors, failure injection, error-state behavior, and test records</x:v>
      </x:c>
      <x:c r="L201" s="20" t="str">
        <x:v>Architecture review</x:v>
      </x:c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 ht="70" customHeight="1">
      <x:c r="A202" s="20" t="str">
        <x:v>AS10.41</x:v>
      </x:c>
      <x:c r="B202" s="20" t="str">
        <x:v>Self-tests</x:v>
      </x:c>
      <x:c r="C202" s="20" t="str">
        <x:v>software loading</x:v>
      </x:c>
      <x:c r="D202" s="20" t="str">
        <x:v>Conditional</x:v>
      </x:c>
      <x:c r="E202" s="20" t="str">
        <x:v>Applies only if the named optional mode, role, interface, or loading mechanism is present.</x:v>
      </x:c>
      <x:c r="F202" s="20" t="str">
        <x:v>ISO/IEC 19790:2012 §7.10</x:v>
      </x:c>
      <x:c r="G202" s="20" t="str">
        <x:v>ISO/IEC 24759:2017 §6.10, AS10.41</x:v>
      </x:c>
      <x:c r="H202" s="20" t="str">
        <x:v>—</x:v>
      </x:c>
      <x:c r="I202" s="20" t="str">
        <x:v>—</x:v>
      </x:c>
      <x:c r="J202" s="20" t="str">
        <x:v>SP 800-140 §6.10 / IG §10</x:v>
      </x:c>
      <x:c r="K202" s="20" t="str">
        <x:v>Self-test design, vectors, failure injection, error-state behavior, and test records</x:v>
      </x:c>
      <x:c r="L202" s="20" t="str">
        <x:v>Architecture review</x:v>
      </x:c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 ht="70" customHeight="1">
      <x:c r="A203" s="20" t="str">
        <x:v>AS10.42</x:v>
      </x:c>
      <x:c r="B203" s="20" t="str">
        <x:v>Self-tests</x:v>
      </x:c>
      <x:c r="C203" s="20" t="str">
        <x:v>self-tests</x:v>
      </x:c>
      <x:c r="D203" s="20" t="str">
        <x:v>Conditional</x:v>
      </x:c>
      <x:c r="E203" s="20" t="str">
        <x:v>Applies only if the named optional mode, role, interface, or loading mechanism is present.</x:v>
      </x:c>
      <x:c r="F203" s="20" t="str">
        <x:v>ISO/IEC 19790:2012 §7.10</x:v>
      </x:c>
      <x:c r="G203" s="20" t="str">
        <x:v>ISO/IEC 24759:2017 §6.10, AS10.42</x:v>
      </x:c>
      <x:c r="H203" s="20" t="str">
        <x:v>—</x:v>
      </x:c>
      <x:c r="I203" s="20" t="str">
        <x:v>—</x:v>
      </x:c>
      <x:c r="J203" s="20" t="str">
        <x:v>SP 800-140 §6.10 / IG §10</x:v>
      </x:c>
      <x:c r="K203" s="20" t="str">
        <x:v>Self-test design, vectors, failure injection, error-state behavior, and test records</x:v>
      </x:c>
      <x:c r="L203" s="20" t="str">
        <x:v>Architecture review</x:v>
      </x:c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 ht="70" customHeight="1">
      <x:c r="A204" s="20" t="str">
        <x:v>AS10.43</x:v>
      </x:c>
      <x:c r="B204" s="20" t="str">
        <x:v>Self-tests</x:v>
      </x:c>
      <x:c r="C204" s="20" t="str">
        <x:v>self-tests</x:v>
      </x:c>
      <x:c r="D204" s="20" t="str">
        <x:v>Required</x:v>
      </x:c>
      <x:c r="E204" s="20" t="str">
        <x:v>Baseline Level 1 requirement for the proposed module, subject to the cited NIST modification or replacement.</x:v>
      </x:c>
      <x:c r="F204" s="20" t="str">
        <x:v>ISO/IEC 19790:2012 §7.10</x:v>
      </x:c>
      <x:c r="G204" s="20" t="str">
        <x:v>ISO/IEC 24759:2017 §6.10, AS10.43</x:v>
      </x:c>
      <x:c r="H204" s="20" t="str">
        <x:v>—</x:v>
      </x:c>
      <x:c r="I204" s="20" t="str">
        <x:v>—</x:v>
      </x:c>
      <x:c r="J204" s="20" t="str">
        <x:v>SP 800-140 §6.10 / IG §10</x:v>
      </x:c>
      <x:c r="K204" s="20" t="str">
        <x:v>Self-test design, vectors, failure injection, error-state behavior, and test records</x:v>
      </x:c>
      <x:c r="L204" s="20" t="str">
        <x:v>Architecture review</x:v>
      </x:c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 ht="70" customHeight="1">
      <x:c r="A205" s="20" t="str">
        <x:v>AS10.44</x:v>
      </x:c>
      <x:c r="B205" s="20" t="str">
        <x:v>Self-tests</x:v>
      </x:c>
      <x:c r="C205" s="20" t="str">
        <x:v>self-tests</x:v>
      </x:c>
      <x:c r="D205" s="20" t="str">
        <x:v>Required</x:v>
      </x:c>
      <x:c r="E205" s="20" t="str">
        <x:v>Baseline Level 1 requirement for the proposed module, subject to the cited NIST modification or replacement.</x:v>
      </x:c>
      <x:c r="F205" s="20" t="str">
        <x:v>ISO/IEC 19790:2012 §7.10</x:v>
      </x:c>
      <x:c r="G205" s="20" t="str">
        <x:v>ISO/IEC 24759:2017 §6.10, AS10.44</x:v>
      </x:c>
      <x:c r="H205" s="20" t="str">
        <x:v>—</x:v>
      </x:c>
      <x:c r="I205" s="20" t="str">
        <x:v>—</x:v>
      </x:c>
      <x:c r="J205" s="20" t="str">
        <x:v>SP 800-140 §6.10 / IG §10</x:v>
      </x:c>
      <x:c r="K205" s="20" t="str">
        <x:v>Self-test design, vectors, failure injection, error-state behavior, and test records</x:v>
      </x:c>
      <x:c r="L205" s="20" t="str">
        <x:v>Architecture review</x:v>
      </x:c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 ht="70" customHeight="1">
      <x:c r="A206" s="20" t="str">
        <x:v>AS10.45</x:v>
      </x:c>
      <x:c r="B206" s="20" t="str">
        <x:v>Self-tests</x:v>
      </x:c>
      <x:c r="C206" s="20" t="str">
        <x:v>self-tests</x:v>
      </x:c>
      <x:c r="D206" s="20" t="str">
        <x:v>Required</x:v>
      </x:c>
      <x:c r="E206" s="20" t="str">
        <x:v>Baseline Level 1 requirement for the proposed module, subject to the cited NIST modification or replacement.</x:v>
      </x:c>
      <x:c r="F206" s="20" t="str">
        <x:v>ISO/IEC 19790:2012 §7.10</x:v>
      </x:c>
      <x:c r="G206" s="20" t="str">
        <x:v>ISO/IEC 24759:2017 §6.10, AS10.45</x:v>
      </x:c>
      <x:c r="H206" s="20" t="str">
        <x:v>—</x:v>
      </x:c>
      <x:c r="I206" s="20" t="str">
        <x:v>—</x:v>
      </x:c>
      <x:c r="J206" s="20" t="str">
        <x:v>SP 800-140 §6.10 / IG §10</x:v>
      </x:c>
      <x:c r="K206" s="20" t="str">
        <x:v>Self-test design, vectors, failure injection, error-state behavior, and test records</x:v>
      </x:c>
      <x:c r="L206" s="20" t="str">
        <x:v>Architecture review</x:v>
      </x:c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 ht="70" customHeight="1">
      <x:c r="A207" s="20" t="str">
        <x:v>AS10.46</x:v>
      </x:c>
      <x:c r="B207" s="20" t="str">
        <x:v>Self-tests</x:v>
      </x:c>
      <x:c r="C207" s="20" t="str">
        <x:v>self-tests</x:v>
      </x:c>
      <x:c r="D207" s="20" t="str">
        <x:v>Required</x:v>
      </x:c>
      <x:c r="E207" s="20" t="str">
        <x:v>Baseline Level 1 requirement for the proposed module, subject to the cited NIST modification or replacement.</x:v>
      </x:c>
      <x:c r="F207" s="20" t="str">
        <x:v>ISO/IEC 19790:2012 §7.10</x:v>
      </x:c>
      <x:c r="G207" s="20" t="str">
        <x:v>ISO/IEC 24759:2017 §6.10, AS10.46</x:v>
      </x:c>
      <x:c r="H207" s="20" t="str">
        <x:v>VE10.46.01, VE10.46.02</x:v>
      </x:c>
      <x:c r="I207" s="20" t="str">
        <x:v>TE10.46.01, TE10.46.02, TE10.46.03, TE10.46.04</x:v>
      </x:c>
      <x:c r="J207" s="20" t="str">
        <x:v>SP 800-140 §6.10 / IG §10</x:v>
      </x:c>
      <x:c r="K207" s="20" t="str">
        <x:v>Self-test design, vectors, failure injection, error-state behavior, and test records</x:v>
      </x:c>
      <x:c r="L207" s="20" t="str">
        <x:v>Architecture review</x:v>
      </x:c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 ht="70" customHeight="1">
      <x:c r="A208" s="20" t="str">
        <x:v>AS10.47</x:v>
      </x:c>
      <x:c r="B208" s="20" t="str">
        <x:v>Self-tests</x:v>
      </x:c>
      <x:c r="C208" s="20" t="str">
        <x:v>services; bypass</x:v>
      </x:c>
      <x:c r="D208" s="20" t="str">
        <x:v>Conditional</x:v>
      </x:c>
      <x:c r="E208" s="20" t="str">
        <x:v>Applies only if the named optional mode, role, interface, or loading mechanism is present.</x:v>
      </x:c>
      <x:c r="F208" s="20" t="str">
        <x:v>ISO/IEC 19790:2012 §7.10</x:v>
      </x:c>
      <x:c r="G208" s="20" t="str">
        <x:v>ISO/IEC 24759:2017 §6.10, AS10.47</x:v>
      </x:c>
      <x:c r="H208" s="20" t="str">
        <x:v>—</x:v>
      </x:c>
      <x:c r="I208" s="20" t="str">
        <x:v>—</x:v>
      </x:c>
      <x:c r="J208" s="20" t="str">
        <x:v>SP 800-140 §6.10 / IG §10</x:v>
      </x:c>
      <x:c r="K208" s="20" t="str">
        <x:v>Self-test design, vectors, failure injection, error-state behavior, and test records</x:v>
      </x:c>
      <x:c r="L208" s="20" t="str">
        <x:v>Architecture review</x:v>
      </x:c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 ht="70" customHeight="1">
      <x:c r="A209" s="20" t="str">
        <x:v>AS10.48</x:v>
      </x:c>
      <x:c r="B209" s="20" t="str">
        <x:v>Self-tests</x:v>
      </x:c>
      <x:c r="C209" s="20" t="str">
        <x:v>services; bypass</x:v>
      </x:c>
      <x:c r="D209" s="20" t="str">
        <x:v>Conditional</x:v>
      </x:c>
      <x:c r="E209" s="20" t="str">
        <x:v>Applies only if the named optional mode, role, interface, or loading mechanism is present.</x:v>
      </x:c>
      <x:c r="F209" s="20" t="str">
        <x:v>ISO/IEC 19790:2012 §7.10</x:v>
      </x:c>
      <x:c r="G209" s="20" t="str">
        <x:v>ISO/IEC 24759:2017 §6.10, AS10.48</x:v>
      </x:c>
      <x:c r="H209" s="20" t="str">
        <x:v>VE10.48.01, VE10.48.02</x:v>
      </x:c>
      <x:c r="I209" s="20" t="str">
        <x:v>TE10.48.01, TE10.48.02, TE10.48.03</x:v>
      </x:c>
      <x:c r="J209" s="20" t="str">
        <x:v>SP 800-140 §6.10 / IG §10</x:v>
      </x:c>
      <x:c r="K209" s="20" t="str">
        <x:v>Self-test design, vectors, failure injection, error-state behavior, and test records</x:v>
      </x:c>
      <x:c r="L209" s="20" t="str">
        <x:v>Architecture review</x:v>
      </x:c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 ht="70" customHeight="1">
      <x:c r="A210" s="20" t="str">
        <x:v>AS10.49</x:v>
      </x:c>
      <x:c r="B210" s="20" t="str">
        <x:v>Self-tests</x:v>
      </x:c>
      <x:c r="C210" s="20" t="str">
        <x:v>services; bypass</x:v>
      </x:c>
      <x:c r="D210" s="20" t="str">
        <x:v>Conditional</x:v>
      </x:c>
      <x:c r="E210" s="20" t="str">
        <x:v>Applies only if the named optional mode, role, interface, or loading mechanism is present.</x:v>
      </x:c>
      <x:c r="F210" s="20" t="str">
        <x:v>ISO/IEC 19790:2012 §7.10</x:v>
      </x:c>
      <x:c r="G210" s="20" t="str">
        <x:v>ISO/IEC 24759:2017 §6.10, AS10.49</x:v>
      </x:c>
      <x:c r="H210" s="20" t="str">
        <x:v>VE10.49.01, VE10.49.02</x:v>
      </x:c>
      <x:c r="I210" s="20" t="str">
        <x:v>TE10.49.01, TE10.49.02, TE10.49.03</x:v>
      </x:c>
      <x:c r="J210" s="20" t="str">
        <x:v>SP 800-140 §6.10 / IG §10</x:v>
      </x:c>
      <x:c r="K210" s="20" t="str">
        <x:v>Self-test design, vectors, failure injection, error-state behavior, and test records</x:v>
      </x:c>
      <x:c r="L210" s="20" t="str">
        <x:v>Architecture review</x:v>
      </x:c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 ht="70" customHeight="1">
      <x:c r="A211" s="20" t="str">
        <x:v>AS10.50</x:v>
      </x:c>
      <x:c r="B211" s="20" t="str">
        <x:v>Self-tests</x:v>
      </x:c>
      <x:c r="C211" s="20" t="str">
        <x:v>bypass; software integrity</x:v>
      </x:c>
      <x:c r="D211" s="20" t="str">
        <x:v>Conditional</x:v>
      </x:c>
      <x:c r="E211" s="20" t="str">
        <x:v>Applies only if the named optional mode, role, interface, or loading mechanism is present.</x:v>
      </x:c>
      <x:c r="F211" s="20" t="str">
        <x:v>ISO/IEC 19790:2012 §7.10</x:v>
      </x:c>
      <x:c r="G211" s="20" t="str">
        <x:v>ISO/IEC 24759:2017 §6.10, AS10.50</x:v>
      </x:c>
      <x:c r="H211" s="20" t="str">
        <x:v>—</x:v>
      </x:c>
      <x:c r="I211" s="20" t="str">
        <x:v>—</x:v>
      </x:c>
      <x:c r="J211" s="20" t="str">
        <x:v>SP 800-140 §6.10 / IG §10</x:v>
      </x:c>
      <x:c r="K211" s="20" t="str">
        <x:v>Self-test design, vectors, failure injection, error-state behavior, and test records</x:v>
      </x:c>
      <x:c r="L211" s="20" t="str">
        <x:v>Architecture review</x:v>
      </x:c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 ht="70" customHeight="1">
      <x:c r="A212" s="20" t="str">
        <x:v>AS10.51</x:v>
      </x:c>
      <x:c r="B212" s="20" t="str">
        <x:v>Self-tests</x:v>
      </x:c>
      <x:c r="C212" s="20" t="str">
        <x:v>bypass; software integrity</x:v>
      </x:c>
      <x:c r="D212" s="20" t="str">
        <x:v>Conditional</x:v>
      </x:c>
      <x:c r="E212" s="20" t="str">
        <x:v>Applies only if the named optional mode, role, interface, or loading mechanism is present.</x:v>
      </x:c>
      <x:c r="F212" s="20" t="str">
        <x:v>ISO/IEC 19790:2012 §7.10</x:v>
      </x:c>
      <x:c r="G212" s="20" t="str">
        <x:v>ISO/IEC 24759:2017 §6.10, AS10.51</x:v>
      </x:c>
      <x:c r="H212" s="20" t="str">
        <x:v>VE10.51.01, VE10.51.02</x:v>
      </x:c>
      <x:c r="I212" s="20" t="str">
        <x:v>TE10.51.01, TE10.51.02, TE10.51.03</x:v>
      </x:c>
      <x:c r="J212" s="20" t="str">
        <x:v>SP 800-140 §6.10 / IG §10</x:v>
      </x:c>
      <x:c r="K212" s="20" t="str">
        <x:v>Self-test design, vectors, failure injection, error-state behavior, and test records</x:v>
      </x:c>
      <x:c r="L212" s="20" t="str">
        <x:v>Architecture review</x:v>
      </x:c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 ht="70" customHeight="1">
      <x:c r="A213" s="20" t="str">
        <x:v>AS10.52</x:v>
      </x:c>
      <x:c r="B213" s="20" t="str">
        <x:v>Self-tests</x:v>
      </x:c>
      <x:c r="C213" s="20" t="str">
        <x:v>self-tests</x:v>
      </x:c>
      <x:c r="D213" s="20" t="str">
        <x:v>Required</x:v>
      </x:c>
      <x:c r="E213" s="20" t="str">
        <x:v>Baseline Level 1 requirement for the proposed module, subject to the cited NIST modification or replacement.</x:v>
      </x:c>
      <x:c r="F213" s="20" t="str">
        <x:v>ISO/IEC 19790:2012 §7.10</x:v>
      </x:c>
      <x:c r="G213" s="20" t="str">
        <x:v>ISO/IEC 24759:2017 §6.10, AS10.52</x:v>
      </x:c>
      <x:c r="H213" s="20" t="str">
        <x:v>—</x:v>
      </x:c>
      <x:c r="I213" s="20" t="str">
        <x:v>—</x:v>
      </x:c>
      <x:c r="J213" s="20" t="str">
        <x:v>SP 800-140 §6.10 / IG §10</x:v>
      </x:c>
      <x:c r="K213" s="20" t="str">
        <x:v>Self-test design, vectors, failure injection, error-state behavior, and test records</x:v>
      </x:c>
      <x:c r="L213" s="20" t="str">
        <x:v>Architecture review</x:v>
      </x:c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 ht="70" customHeight="1">
      <x:c r="A214" s="20" t="str">
        <x:v>AS10.53</x:v>
      </x:c>
      <x:c r="B214" s="20" t="str">
        <x:v>Self-tests</x:v>
      </x:c>
      <x:c r="C214" s="20" t="str">
        <x:v>services; self-tests</x:v>
      </x:c>
      <x:c r="D214" s="20" t="str">
        <x:v>Required</x:v>
      </x:c>
      <x:c r="E214" s="20" t="str">
        <x:v>Baseline Level 1 requirement for the proposed module, subject to the cited NIST modification or replacement.</x:v>
      </x:c>
      <x:c r="F214" s="20" t="str">
        <x:v>ISO/IEC 19790:2012 §7.10</x:v>
      </x:c>
      <x:c r="G214" s="20" t="str">
        <x:v>ISO/IEC 24759:2017 §6.10, AS10.53</x:v>
      </x:c>
      <x:c r="H214" s="20" t="str">
        <x:v>VE10.53.01, VE10.53.02</x:v>
      </x:c>
      <x:c r="I214" s="20" t="str">
        <x:v>TE10.53.01, TE10.53.02, TE10.53.03</x:v>
      </x:c>
      <x:c r="J214" s="20" t="str">
        <x:v>SP 800-140 §6.10 / IG §10</x:v>
      </x:c>
      <x:c r="K214" s="20" t="str">
        <x:v>Self-test design, vectors, failure injection, error-state behavior, and test records</x:v>
      </x:c>
      <x:c r="L214" s="20" t="str">
        <x:v>Architecture review</x:v>
      </x:c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 ht="70" customHeight="1">
      <x:c r="A215" s="20" t="str">
        <x:v>AS11.01</x:v>
      </x:c>
      <x:c r="B215" s="20" t="str">
        <x:v>Life-cycle assurance</x:v>
      </x:c>
      <x:c r="C215" s="20" t="str">
        <x:v>life-cycle assurance</x:v>
      </x:c>
      <x:c r="D215" s="20" t="str">
        <x:v>Required</x:v>
      </x:c>
      <x:c r="E215" s="20" t="str">
        <x:v>Baseline Level 1 requirement for the proposed module, subject to the cited NIST modification or replacement.</x:v>
      </x:c>
      <x:c r="F215" s="20" t="str">
        <x:v>ISO/IEC 19790:2012 §7.11</x:v>
      </x:c>
      <x:c r="G215" s="20" t="str">
        <x:v>ISO/IEC 24759:2017 §6.11, AS11.01</x:v>
      </x:c>
      <x:c r="H215" s="20" t="str">
        <x:v>VE11.01.01</x:v>
      </x:c>
      <x:c r="I215" s="20" t="str">
        <x:v>TE11.01.01</x:v>
      </x:c>
      <x:c r="J215" s="20" t="str">
        <x:v>SP 800-140 §6.11</x:v>
      </x:c>
      <x:c r="K215" s="20" t="str">
        <x:v>Configuration management, design, FSM, build, delivery, guidance, and functional tests</x:v>
      </x:c>
      <x:c r="L215" s="20" t="str">
        <x:v>Architecture review</x:v>
      </x:c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 ht="70" customHeight="1">
      <x:c r="A216" s="20" t="str">
        <x:v>AS11.02</x:v>
      </x:c>
      <x:c r="B216" s="20" t="str">
        <x:v>Life-cycle assurance</x:v>
      </x:c>
      <x:c r="C216" s="20" t="str">
        <x:v>life-cycle assurance</x:v>
      </x:c>
      <x:c r="D216" s="20" t="str">
        <x:v>Required</x:v>
      </x:c>
      <x:c r="E216" s="20" t="str">
        <x:v>Baseline Level 1 requirement for the proposed module, subject to the cited NIST modification or replacement.</x:v>
      </x:c>
      <x:c r="F216" s="20" t="str">
        <x:v>ISO/IEC 19790:2012 §7.11</x:v>
      </x:c>
      <x:c r="G216" s="20" t="str">
        <x:v>ISO/IEC 24759:2017 §6.11, AS11.02</x:v>
      </x:c>
      <x:c r="H216" s="20" t="str">
        <x:v>—</x:v>
      </x:c>
      <x:c r="I216" s="20" t="str">
        <x:v>—</x:v>
      </x:c>
      <x:c r="J216" s="20" t="str">
        <x:v>SP 800-140 §6.11</x:v>
      </x:c>
      <x:c r="K216" s="20" t="str">
        <x:v>Configuration management, design, FSM, build, delivery, guidance, and functional tests</x:v>
      </x:c>
      <x:c r="L216" s="20" t="str">
        <x:v>Architecture review</x:v>
      </x:c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 ht="70" customHeight="1">
      <x:c r="A217" s="20" t="str">
        <x:v>AS11.03</x:v>
      </x:c>
      <x:c r="B217" s="20" t="str">
        <x:v>Life-cycle assurance</x:v>
      </x:c>
      <x:c r="C217" s="20" t="str">
        <x:v>boundary; configuration management</x:v>
      </x:c>
      <x:c r="D217" s="20" t="str">
        <x:v>Required</x:v>
      </x:c>
      <x:c r="E217" s="20" t="str">
        <x:v>Baseline Level 1 requirement for the proposed module, subject to the cited NIST modification or replacement.</x:v>
      </x:c>
      <x:c r="F217" s="20" t="str">
        <x:v>ISO/IEC 19790:2012 §7.11</x:v>
      </x:c>
      <x:c r="G217" s="20" t="str">
        <x:v>ISO/IEC 24759:2017 §6.11, AS11.03</x:v>
      </x:c>
      <x:c r="H217" s="20" t="str">
        <x:v>VE11.03.01</x:v>
      </x:c>
      <x:c r="I217" s="20" t="str">
        <x:v>TE11.03.01</x:v>
      </x:c>
      <x:c r="J217" s="20" t="str">
        <x:v>SP 800-140 §6.11</x:v>
      </x:c>
      <x:c r="K217" s="20" t="str">
        <x:v>Configuration management, design, FSM, build, delivery, guidance, and functional tests</x:v>
      </x:c>
      <x:c r="L217" s="20" t="str">
        <x:v>Architecture review</x:v>
      </x:c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 ht="70" customHeight="1">
      <x:c r="A218" s="20" t="str">
        <x:v>AS11.04</x:v>
      </x:c>
      <x:c r="B218" s="20" t="str">
        <x:v>Life-cycle assurance</x:v>
      </x:c>
      <x:c r="C218" s="20" t="str">
        <x:v>operator guidance</x:v>
      </x:c>
      <x:c r="D218" s="20" t="str">
        <x:v>Required</x:v>
      </x:c>
      <x:c r="E218" s="20" t="str">
        <x:v>Baseline Level 1 requirement for the proposed module, subject to the cited NIST modification or replacement.</x:v>
      </x:c>
      <x:c r="F218" s="20" t="str">
        <x:v>ISO/IEC 19790:2012 §7.11</x:v>
      </x:c>
      <x:c r="G218" s="20" t="str">
        <x:v>ISO/IEC 24759:2017 §6.11, AS11.04</x:v>
      </x:c>
      <x:c r="H218" s="20" t="str">
        <x:v>VE11.04.01, VE11.04.02</x:v>
      </x:c>
      <x:c r="I218" s="20" t="str">
        <x:v>TE11.04.01, TE11.04.02, TE11.04.03, TE11.04.04</x:v>
      </x:c>
      <x:c r="J218" s="20" t="str">
        <x:v>SP 800-140 §6.11</x:v>
      </x:c>
      <x:c r="K218" s="20" t="str">
        <x:v>Configuration management, design, FSM, build, delivery, guidance, and functional tests</x:v>
      </x:c>
      <x:c r="L218" s="20" t="str">
        <x:v>Architecture review</x:v>
      </x:c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 ht="70" customHeight="1">
      <x:c r="A219" s="20" t="str">
        <x:v>AS11.05</x:v>
      </x:c>
      <x:c r="B219" s="20" t="str">
        <x:v>Life-cycle assurance</x:v>
      </x:c>
      <x:c r="C219" s="20" t="str">
        <x:v>configuration management</x:v>
      </x:c>
      <x:c r="D219" s="20" t="str">
        <x:v>Required</x:v>
      </x:c>
      <x:c r="E219" s="20" t="str">
        <x:v>Baseline Level 1 requirement for the proposed module, subject to the cited NIST modification or replacement.</x:v>
      </x:c>
      <x:c r="F219" s="20" t="str">
        <x:v>ISO/IEC 19790:2012 §7.11</x:v>
      </x:c>
      <x:c r="G219" s="20" t="str">
        <x:v>ISO/IEC 24759:2017 §6.11, AS11.05</x:v>
      </x:c>
      <x:c r="H219" s="20" t="str">
        <x:v>VE11.05.01</x:v>
      </x:c>
      <x:c r="I219" s="20" t="str">
        <x:v>TE11.05.01</x:v>
      </x:c>
      <x:c r="J219" s="20" t="str">
        <x:v>SP 800-140 §6.11</x:v>
      </x:c>
      <x:c r="K219" s="20" t="str">
        <x:v>Configuration management, design, FSM, build, delivery, guidance, and functional tests</x:v>
      </x:c>
      <x:c r="L219" s="20" t="str">
        <x:v>Architecture review</x:v>
      </x:c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 ht="70" customHeight="1">
      <x:c r="A220" s="20" t="str">
        <x:v>AS11.07</x:v>
      </x:c>
      <x:c r="B220" s="20" t="str">
        <x:v>Life-cycle assurance</x:v>
      </x:c>
      <x:c r="C220" s="20" t="str">
        <x:v>services; finite-state model</x:v>
      </x:c>
      <x:c r="D220" s="20" t="str">
        <x:v>Required</x:v>
      </x:c>
      <x:c r="E220" s="20" t="str">
        <x:v>Baseline Level 1 requirement for the proposed module, subject to the cited NIST modification or replacement.</x:v>
      </x:c>
      <x:c r="F220" s="20" t="str">
        <x:v>ISO/IEC 19790:2012 §7.11</x:v>
      </x:c>
      <x:c r="G220" s="20" t="str">
        <x:v>ISO/IEC 24759:2017 §6.11, AS11.07</x:v>
      </x:c>
      <x:c r="H220" s="20" t="str">
        <x:v>—</x:v>
      </x:c>
      <x:c r="I220" s="20" t="str">
        <x:v>—</x:v>
      </x:c>
      <x:c r="J220" s="20" t="str">
        <x:v>SP 800-140 §6.11</x:v>
      </x:c>
      <x:c r="K220" s="20" t="str">
        <x:v>Configuration management, design, FSM, build, delivery, guidance, and functional tests</x:v>
      </x:c>
      <x:c r="L220" s="20" t="str">
        <x:v>Architecture review</x:v>
      </x:c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 ht="70" customHeight="1">
      <x:c r="A221" s="20" t="str">
        <x:v>AS11.08</x:v>
      </x:c>
      <x:c r="B221" s="20" t="str">
        <x:v>Life-cycle assurance</x:v>
      </x:c>
      <x:c r="C221" s="20" t="str">
        <x:v>finite-state model</x:v>
      </x:c>
      <x:c r="D221" s="20" t="str">
        <x:v>Required</x:v>
      </x:c>
      <x:c r="E221" s="20" t="str">
        <x:v>Baseline Level 1 requirement for the proposed module, subject to the cited NIST modification or replacement.</x:v>
      </x:c>
      <x:c r="F221" s="20" t="str">
        <x:v>ISO/IEC 19790:2012 §7.11</x:v>
      </x:c>
      <x:c r="G221" s="20" t="str">
        <x:v>ISO/IEC 24759:2017 §6.11, AS11.08</x:v>
      </x:c>
      <x:c r="H221" s="20" t="str">
        <x:v>VE11.08.01, VE11.08.02</x:v>
      </x:c>
      <x:c r="I221" s="20" t="str">
        <x:v>TE11.08.01, TE11.08.02, TE11.08.03, TE11.08.04, TE11.08.05, TE11.08.06, TE11.08.07, TE11.08.08, TE11.08.09, TE11.08.10, TE11.08.11, TE11.08.12</x:v>
      </x:c>
      <x:c r="J221" s="20" t="str">
        <x:v>SP 800-140 §6.11</x:v>
      </x:c>
      <x:c r="K221" s="20" t="str">
        <x:v>Configuration management, design, FSM, build, delivery, guidance, and functional tests</x:v>
      </x:c>
      <x:c r="L221" s="20" t="str">
        <x:v>Architecture review</x:v>
      </x:c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 ht="70" customHeight="1">
      <x:c r="A222" s="20" t="str">
        <x:v>AS11.09</x:v>
      </x:c>
      <x:c r="B222" s="20" t="str">
        <x:v>Life-cycle assurance</x:v>
      </x:c>
      <x:c r="C222" s="20" t="str">
        <x:v>life-cycle assurance</x:v>
      </x:c>
      <x:c r="D222" s="20" t="str">
        <x:v>Required</x:v>
      </x:c>
      <x:c r="E222" s="20" t="str">
        <x:v>Baseline Level 1 requirement for the proposed module, subject to the cited NIST modification or replacement.</x:v>
      </x:c>
      <x:c r="F222" s="20" t="str">
        <x:v>ISO/IEC 19790:2012 §7.11</x:v>
      </x:c>
      <x:c r="G222" s="20" t="str">
        <x:v>ISO/IEC 24759:2017 §6.11, AS11.09</x:v>
      </x:c>
      <x:c r="H222" s="20" t="str">
        <x:v>—</x:v>
      </x:c>
      <x:c r="I222" s="20" t="str">
        <x:v>—</x:v>
      </x:c>
      <x:c r="J222" s="20" t="str">
        <x:v>SP 800-140 §6.11</x:v>
      </x:c>
      <x:c r="K222" s="20" t="str">
        <x:v>Configuration management, design, FSM, build, delivery, guidance, and functional tests</x:v>
      </x:c>
      <x:c r="L222" s="20" t="str">
        <x:v>Architecture review</x:v>
      </x:c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 ht="70" customHeight="1">
      <x:c r="A223" s="20" t="str">
        <x:v>AS11.10</x:v>
      </x:c>
      <x:c r="B223" s="20" t="str">
        <x:v>Life-cycle assurance</x:v>
      </x:c>
      <x:c r="C223" s="20" t="str">
        <x:v>module type; approved functions; roles</x:v>
      </x:c>
      <x:c r="D223" s="20" t="str">
        <x:v>Required</x:v>
      </x:c>
      <x:c r="E223" s="20" t="str">
        <x:v>Baseline Level 1 requirement for the proposed module, subject to the cited NIST modification or replacement.</x:v>
      </x:c>
      <x:c r="F223" s="20" t="str">
        <x:v>ISO/IEC 19790:2012 §7.11</x:v>
      </x:c>
      <x:c r="G223" s="20" t="str">
        <x:v>ISO/IEC 24759:2017 §6.11, AS11.10</x:v>
      </x:c>
      <x:c r="H223" s="20" t="str">
        <x:v>—</x:v>
      </x:c>
      <x:c r="I223" s="20" t="str">
        <x:v>—</x:v>
      </x:c>
      <x:c r="J223" s="20" t="str">
        <x:v>SP 800-140 §6.11</x:v>
      </x:c>
      <x:c r="K223" s="20" t="str">
        <x:v>Configuration management, design, FSM, build, delivery, guidance, and functional tests</x:v>
      </x:c>
      <x:c r="L223" s="20" t="str">
        <x:v>Architecture review</x:v>
      </x:c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 ht="70" customHeight="1">
      <x:c r="A224" s="20" t="str">
        <x:v>AS11.11</x:v>
      </x:c>
      <x:c r="B224" s="20" t="str">
        <x:v>Life-cycle assurance</x:v>
      </x:c>
      <x:c r="C224" s="20" t="str">
        <x:v>services; error state</x:v>
      </x:c>
      <x:c r="D224" s="20" t="str">
        <x:v>Required</x:v>
      </x:c>
      <x:c r="E224" s="20" t="str">
        <x:v>Baseline Level 1 requirement for the proposed module, subject to the cited NIST modification or replacement.</x:v>
      </x:c>
      <x:c r="F224" s="20" t="str">
        <x:v>ISO/IEC 19790:2012 §7.11</x:v>
      </x:c>
      <x:c r="G224" s="20" t="str">
        <x:v>ISO/IEC 24759:2017 §6.11, AS11.11</x:v>
      </x:c>
      <x:c r="H224" s="20" t="str">
        <x:v>VE11.11.01</x:v>
      </x:c>
      <x:c r="I224" s="20" t="str">
        <x:v>TE11.11.01</x:v>
      </x:c>
      <x:c r="J224" s="20" t="str">
        <x:v>SP 800-140 §6.11</x:v>
      </x:c>
      <x:c r="K224" s="20" t="str">
        <x:v>Configuration management, design, FSM, build, delivery, guidance, and functional tests</x:v>
      </x:c>
      <x:c r="L224" s="20" t="str">
        <x:v>Architecture review</x:v>
      </x:c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 ht="70" customHeight="1">
      <x:c r="A225" s="20" t="str">
        <x:v>AS11.12</x:v>
      </x:c>
      <x:c r="B225" s="20" t="str">
        <x:v>Life-cycle assurance</x:v>
      </x:c>
      <x:c r="C225" s="20" t="str">
        <x:v>services; authentication; self-tests</x:v>
      </x:c>
      <x:c r="D225" s="20" t="str">
        <x:v>Conditional</x:v>
      </x:c>
      <x:c r="E225" s="20" t="str">
        <x:v>Level 1 permits implicit role assumption; this applies only if an authentication mechanism is implemented.</x:v>
      </x:c>
      <x:c r="F225" s="20" t="str">
        <x:v>ISO/IEC 19790:2012 §7.11</x:v>
      </x:c>
      <x:c r="G225" s="20" t="str">
        <x:v>ISO/IEC 24759:2017 §6.11, AS11.12</x:v>
      </x:c>
      <x:c r="H225" s="20" t="str">
        <x:v>—</x:v>
      </x:c>
      <x:c r="I225" s="20" t="str">
        <x:v>—</x:v>
      </x:c>
      <x:c r="J225" s="20" t="str">
        <x:v>SP 800-140 §6.11</x:v>
      </x:c>
      <x:c r="K225" s="20" t="str">
        <x:v>Configuration management, design, FSM, build, delivery, guidance, and functional tests</x:v>
      </x:c>
      <x:c r="L225" s="20" t="str">
        <x:v>Architecture review</x:v>
      </x:c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 ht="70" customHeight="1">
      <x:c r="A226" s="20" t="str">
        <x:v>AS11.13</x:v>
      </x:c>
      <x:c r="B226" s="20" t="str">
        <x:v>Life-cycle assurance</x:v>
      </x:c>
      <x:c r="C226" s="20" t="str">
        <x:v>roles</x:v>
      </x:c>
      <x:c r="D226" s="20" t="str">
        <x:v>Required</x:v>
      </x:c>
      <x:c r="E226" s="20" t="str">
        <x:v>Baseline Level 1 requirement for the proposed module, subject to the cited NIST modification or replacement.</x:v>
      </x:c>
      <x:c r="F226" s="20" t="str">
        <x:v>ISO/IEC 19790:2012 §7.11</x:v>
      </x:c>
      <x:c r="G226" s="20" t="str">
        <x:v>ISO/IEC 24759:2017 §6.11, AS11.13</x:v>
      </x:c>
      <x:c r="H226" s="20" t="str">
        <x:v>VE11.13.01</x:v>
      </x:c>
      <x:c r="I226" s="20" t="str">
        <x:v>TE11.13.01, TE11.13.02</x:v>
      </x:c>
      <x:c r="J226" s="20" t="str">
        <x:v>SP 800-140 §6.11</x:v>
      </x:c>
      <x:c r="K226" s="20" t="str">
        <x:v>Configuration management, design, FSM, build, delivery, guidance, and functional tests</x:v>
      </x:c>
      <x:c r="L226" s="20" t="str">
        <x:v>Architecture review</x:v>
      </x:c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 ht="70" customHeight="1">
      <x:c r="A227" s="20" t="str">
        <x:v>AS11.14</x:v>
      </x:c>
      <x:c r="B227" s="20" t="str">
        <x:v>Life-cycle assurance</x:v>
      </x:c>
      <x:c r="C227" s="20" t="str">
        <x:v>life-cycle assurance</x:v>
      </x:c>
      <x:c r="D227" s="20" t="str">
        <x:v>Required</x:v>
      </x:c>
      <x:c r="E227" s="20" t="str">
        <x:v>Baseline Level 1 requirement for the proposed module, subject to the cited NIST modification or replacement.</x:v>
      </x:c>
      <x:c r="F227" s="20" t="str">
        <x:v>ISO/IEC 19790:2012 §7.11</x:v>
      </x:c>
      <x:c r="G227" s="20" t="str">
        <x:v>ISO/IEC 24759:2017 §6.11, AS11.14</x:v>
      </x:c>
      <x:c r="H227" s="20" t="str">
        <x:v>—</x:v>
      </x:c>
      <x:c r="I227" s="20" t="str">
        <x:v>—</x:v>
      </x:c>
      <x:c r="J227" s="20" t="str">
        <x:v>SP 800-140 §6.11</x:v>
      </x:c>
      <x:c r="K227" s="20" t="str">
        <x:v>Configuration management, design, FSM, build, delivery, guidance, and functional tests</x:v>
      </x:c>
      <x:c r="L227" s="20" t="str">
        <x:v>Architecture review</x:v>
      </x:c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 ht="70" customHeight="1">
      <x:c r="A228" s="20" t="str">
        <x:v>AS11.15</x:v>
      </x:c>
      <x:c r="B228" s="20" t="str">
        <x:v>Life-cycle assurance</x:v>
      </x:c>
      <x:c r="C228" s="20" t="str">
        <x:v>configuration management</x:v>
      </x:c>
      <x:c r="D228" s="20" t="str">
        <x:v>Required</x:v>
      </x:c>
      <x:c r="E228" s="20" t="str">
        <x:v>Baseline Level 1 requirement for the proposed module, subject to the cited NIST modification or replacement.</x:v>
      </x:c>
      <x:c r="F228" s="20" t="str">
        <x:v>ISO/IEC 19790:2012 §7.11</x:v>
      </x:c>
      <x:c r="G228" s="20" t="str">
        <x:v>ISO/IEC 24759:2017 §6.11, AS11.15</x:v>
      </x:c>
      <x:c r="H228" s="20" t="str">
        <x:v>VE11.15.01, VE11.15.02</x:v>
      </x:c>
      <x:c r="I228" s="20" t="str">
        <x:v>TE11.15.01, TE11.15.02</x:v>
      </x:c>
      <x:c r="J228" s="20" t="str">
        <x:v>SP 800-140 §6.11</x:v>
      </x:c>
      <x:c r="K228" s="20" t="str">
        <x:v>Configuration management, design, FSM, build, delivery, guidance, and functional tests</x:v>
      </x:c>
      <x:c r="L228" s="20" t="str">
        <x:v>Architecture review</x:v>
      </x:c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 ht="70" customHeight="1">
      <x:c r="A229" s="20" t="str">
        <x:v>AS11.16</x:v>
      </x:c>
      <x:c r="B229" s="20" t="str">
        <x:v>Life-cycle assurance</x:v>
      </x:c>
      <x:c r="C229" s="20" t="str">
        <x:v>life-cycle assurance</x:v>
      </x:c>
      <x:c r="D229" s="20" t="str">
        <x:v>Required</x:v>
      </x:c>
      <x:c r="E229" s="20" t="str">
        <x:v>Baseline Level 1 requirement for the proposed module, subject to the cited NIST modification or replacement.</x:v>
      </x:c>
      <x:c r="F229" s="20" t="str">
        <x:v>ISO/IEC 19790:2012 §7.11</x:v>
      </x:c>
      <x:c r="G229" s="20" t="str">
        <x:v>ISO/IEC 24759:2017 §6.11, AS11.16</x:v>
      </x:c>
      <x:c r="H229" s="20" t="str">
        <x:v>VE11.16.01, VE11.16.02</x:v>
      </x:c>
      <x:c r="I229" s="20" t="str">
        <x:v>TE11.16.01</x:v>
      </x:c>
      <x:c r="J229" s="20" t="str">
        <x:v>SP 800-140 §6.11</x:v>
      </x:c>
      <x:c r="K229" s="20" t="str">
        <x:v>Configuration management, design, FSM, build, delivery, guidance, and functional tests</x:v>
      </x:c>
      <x:c r="L229" s="20" t="str">
        <x:v>Architecture review</x:v>
      </x:c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 ht="70" customHeight="1">
      <x:c r="A230" s="20" t="str">
        <x:v>AS11.17</x:v>
      </x:c>
      <x:c r="B230" s="20" t="str">
        <x:v>Life-cycle assurance</x:v>
      </x:c>
      <x:c r="C230" s="20" t="str">
        <x:v>life-cycle assurance</x:v>
      </x:c>
      <x:c r="D230" s="20" t="str">
        <x:v>Required</x:v>
      </x:c>
      <x:c r="E230" s="20" t="str">
        <x:v>Baseline Level 1 requirement for the proposed module, subject to the cited NIST modification or replacement.</x:v>
      </x:c>
      <x:c r="F230" s="20" t="str">
        <x:v>ISO/IEC 19790:2012 §7.11</x:v>
      </x:c>
      <x:c r="G230" s="20" t="str">
        <x:v>ISO/IEC 24759:2017 §6.11, AS11.17</x:v>
      </x:c>
      <x:c r="H230" s="20" t="str">
        <x:v>VE11.17.01</x:v>
      </x:c>
      <x:c r="I230" s="20" t="str">
        <x:v>TE11.17.01</x:v>
      </x:c>
      <x:c r="J230" s="20" t="str">
        <x:v>SP 800-140 §6.11</x:v>
      </x:c>
      <x:c r="K230" s="20" t="str">
        <x:v>Configuration management, design, FSM, build, delivery, guidance, and functional tests</x:v>
      </x:c>
      <x:c r="L230" s="20" t="str">
        <x:v>Architecture review</x:v>
      </x:c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 ht="70" customHeight="1">
      <x:c r="A231" s="20" t="str">
        <x:v>AS11.18</x:v>
      </x:c>
      <x:c r="B231" s="20" t="str">
        <x:v>Life-cycle assurance</x:v>
      </x:c>
      <x:c r="C231" s="20" t="str">
        <x:v>life-cycle assurance</x:v>
      </x:c>
      <x:c r="D231" s="20" t="str">
        <x:v>Required</x:v>
      </x:c>
      <x:c r="E231" s="20" t="str">
        <x:v>Baseline Level 1 requirement for the proposed module, subject to the cited NIST modification or replacement.</x:v>
      </x:c>
      <x:c r="F231" s="20" t="str">
        <x:v>ISO/IEC 19790:2012 §7.11</x:v>
      </x:c>
      <x:c r="G231" s="20" t="str">
        <x:v>ISO/IEC 24759:2017 §6.11, AS11.18</x:v>
      </x:c>
      <x:c r="H231" s="20" t="str">
        <x:v>VE11.18.01</x:v>
      </x:c>
      <x:c r="I231" s="20" t="str">
        <x:v>TE11.18.01</x:v>
      </x:c>
      <x:c r="J231" s="20" t="str">
        <x:v>SP 800-140 §6.11</x:v>
      </x:c>
      <x:c r="K231" s="20" t="str">
        <x:v>Configuration management, design, FSM, build, delivery, guidance, and functional tests</x:v>
      </x:c>
      <x:c r="L231" s="20" t="str">
        <x:v>Architecture review</x:v>
      </x:c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 ht="70" customHeight="1">
      <x:c r="A232" s="20" t="str">
        <x:v>AS11.19</x:v>
      </x:c>
      <x:c r="B232" s="20" t="str">
        <x:v>Life-cycle assurance</x:v>
      </x:c>
      <x:c r="C232" s="20" t="str">
        <x:v>module type; authentication; software integrity</x:v>
      </x:c>
      <x:c r="D232" s="20" t="str">
        <x:v>Required</x:v>
      </x:c>
      <x:c r="E232" s="20" t="str">
        <x:v>Baseline Level 1 requirement for the proposed module, subject to the cited NIST modification or replacement.</x:v>
      </x:c>
      <x:c r="F232" s="20" t="str">
        <x:v>ISO/IEC 19790:2012 §7.11</x:v>
      </x:c>
      <x:c r="G232" s="20" t="str">
        <x:v>ISO/IEC 24759:2017 §6.11, AS11.19</x:v>
      </x:c>
      <x:c r="H232" s="20" t="str">
        <x:v>VE11.19.01</x:v>
      </x:c>
      <x:c r="I232" s="20" t="str">
        <x:v>TE11.19.01</x:v>
      </x:c>
      <x:c r="J232" s="20" t="str">
        <x:v>SP 800-140 §6.11</x:v>
      </x:c>
      <x:c r="K232" s="20" t="str">
        <x:v>Configuration management, design, FSM, build, delivery, guidance, and functional tests</x:v>
      </x:c>
      <x:c r="L232" s="20" t="str">
        <x:v>Architecture review</x:v>
      </x:c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 ht="70" customHeight="1">
      <x:c r="A233" s="20" t="str">
        <x:v>AS11.20</x:v>
      </x:c>
      <x:c r="B233" s="20" t="str">
        <x:v>Life-cycle assurance</x:v>
      </x:c>
      <x:c r="C233" s="20" t="str">
        <x:v>life-cycle assurance</x:v>
      </x:c>
      <x:c r="D233" s="20" t="str">
        <x:v>Required</x:v>
      </x:c>
      <x:c r="E233" s="20" t="str">
        <x:v>Baseline Level 1 requirement for the proposed module, subject to the cited NIST modification or replacement.</x:v>
      </x:c>
      <x:c r="F233" s="20" t="str">
        <x:v>ISO/IEC 19790:2012 §7.11</x:v>
      </x:c>
      <x:c r="G233" s="20" t="str">
        <x:v>ISO/IEC 24759:2017 §6.11, AS11.20</x:v>
      </x:c>
      <x:c r="H233" s="20" t="str">
        <x:v>—</x:v>
      </x:c>
      <x:c r="I233" s="20" t="str">
        <x:v>—</x:v>
      </x:c>
      <x:c r="J233" s="20" t="str">
        <x:v>SP 800-140 §6.11</x:v>
      </x:c>
      <x:c r="K233" s="20" t="str">
        <x:v>Configuration management, design, FSM, build, delivery, guidance, and functional tests</x:v>
      </x:c>
      <x:c r="L233" s="20" t="str">
        <x:v>Architecture review</x:v>
      </x:c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 ht="70" customHeight="1">
      <x:c r="A234" s="20" t="str">
        <x:v>AS11.21</x:v>
      </x:c>
      <x:c r="B234" s="20" t="str">
        <x:v>Life-cycle assurance</x:v>
      </x:c>
      <x:c r="C234" s="20" t="str">
        <x:v>life-cycle assurance</x:v>
      </x:c>
      <x:c r="D234" s="20" t="str">
        <x:v>Required</x:v>
      </x:c>
      <x:c r="E234" s="20" t="str">
        <x:v>Baseline Level 1 requirement for the proposed module, subject to the cited NIST modification or replacement.</x:v>
      </x:c>
      <x:c r="F234" s="20" t="str">
        <x:v>ISO/IEC 19790:2012 §7.11</x:v>
      </x:c>
      <x:c r="G234" s="20" t="str">
        <x:v>ISO/IEC 24759:2017 §6.11, AS11.21</x:v>
      </x:c>
      <x:c r="H234" s="20" t="str">
        <x:v>VE11.21.01</x:v>
      </x:c>
      <x:c r="I234" s="20" t="str">
        <x:v>TE11.21.01</x:v>
      </x:c>
      <x:c r="J234" s="20" t="str">
        <x:v>SP 800-140 §6.11</x:v>
      </x:c>
      <x:c r="K234" s="20" t="str">
        <x:v>Configuration management, design, FSM, build, delivery, guidance, and functional tests</x:v>
      </x:c>
      <x:c r="L234" s="20" t="str">
        <x:v>Architecture review</x:v>
      </x:c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 ht="70" customHeight="1">
      <x:c r="A235" s="20" t="str">
        <x:v>AS11.29</x:v>
      </x:c>
      <x:c r="B235" s="20" t="str">
        <x:v>Life-cycle assurance</x:v>
      </x:c>
      <x:c r="C235" s="20" t="str">
        <x:v>life-cycle assurance</x:v>
      </x:c>
      <x:c r="D235" s="20" t="str">
        <x:v>Required</x:v>
      </x:c>
      <x:c r="E235" s="20" t="str">
        <x:v>Baseline Level 1 requirement for the proposed module, subject to the cited NIST modification or replacement.</x:v>
      </x:c>
      <x:c r="F235" s="20" t="str">
        <x:v>ISO/IEC 19790:2012 §7.11</x:v>
      </x:c>
      <x:c r="G235" s="20" t="str">
        <x:v>ISO/IEC 24759:2017 §6.11, AS11.29</x:v>
      </x:c>
      <x:c r="H235" s="20" t="str">
        <x:v>VE11.29.01</x:v>
      </x:c>
      <x:c r="I235" s="20" t="str">
        <x:v>TE11.29.01</x:v>
      </x:c>
      <x:c r="J235" s="20" t="str">
        <x:v>SP 800-140 §6.11</x:v>
      </x:c>
      <x:c r="K235" s="20" t="str">
        <x:v>Configuration management, design, FSM, build, delivery, guidance, and functional tests</x:v>
      </x:c>
      <x:c r="L235" s="20" t="str">
        <x:v>Architecture review</x:v>
      </x:c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 ht="70" customHeight="1">
      <x:c r="A236" s="20" t="str">
        <x:v>AS11.30</x:v>
      </x:c>
      <x:c r="B236" s="20" t="str">
        <x:v>Life-cycle assurance</x:v>
      </x:c>
      <x:c r="C236" s="20" t="str">
        <x:v>life-cycle assurance</x:v>
      </x:c>
      <x:c r="D236" s="20" t="str">
        <x:v>Required</x:v>
      </x:c>
      <x:c r="E236" s="20" t="str">
        <x:v>Baseline Level 1 requirement for the proposed module, subject to the cited NIST modification or replacement.</x:v>
      </x:c>
      <x:c r="F236" s="20" t="str">
        <x:v>ISO/IEC 19790:2012 §7.11</x:v>
      </x:c>
      <x:c r="G236" s="20" t="str">
        <x:v>ISO/IEC 24759:2017 §6.11, AS11.30</x:v>
      </x:c>
      <x:c r="H236" s="20" t="str">
        <x:v>VE11.30.01</x:v>
      </x:c>
      <x:c r="I236" s="20" t="str">
        <x:v>TE11.30.01</x:v>
      </x:c>
      <x:c r="J236" s="20" t="str">
        <x:v>SP 800-140 §6.11</x:v>
      </x:c>
      <x:c r="K236" s="20" t="str">
        <x:v>Configuration management, design, FSM, build, delivery, guidance, and functional tests</x:v>
      </x:c>
      <x:c r="L236" s="20" t="str">
        <x:v>Architecture review</x:v>
      </x:c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 ht="70" customHeight="1">
      <x:c r="A237" s="20" t="str">
        <x:v>AS11.32</x:v>
      </x:c>
      <x:c r="B237" s="20" t="str">
        <x:v>Life-cycle assurance</x:v>
      </x:c>
      <x:c r="C237" s="20" t="str">
        <x:v>delivery/install</x:v>
      </x:c>
      <x:c r="D237" s="20" t="str">
        <x:v>Required</x:v>
      </x:c>
      <x:c r="E237" s="20" t="str">
        <x:v>Baseline Level 1 requirement for the proposed module, subject to the cited NIST modification or replacement.</x:v>
      </x:c>
      <x:c r="F237" s="20" t="str">
        <x:v>ISO/IEC 19790:2012 §7.11</x:v>
      </x:c>
      <x:c r="G237" s="20" t="str">
        <x:v>ISO/IEC 24759:2017 §6.11, AS11.32</x:v>
      </x:c>
      <x:c r="H237" s="20" t="str">
        <x:v>VE11.32.01</x:v>
      </x:c>
      <x:c r="I237" s="20" t="str">
        <x:v>TE11.32.01, TE11.32.02</x:v>
      </x:c>
      <x:c r="J237" s="20" t="str">
        <x:v>SP 800-140 §6.11</x:v>
      </x:c>
      <x:c r="K237" s="20" t="str">
        <x:v>Configuration management, design, FSM, build, delivery, guidance, and functional tests</x:v>
      </x:c>
      <x:c r="L237" s="20" t="str">
        <x:v>Architecture review</x:v>
      </x:c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 ht="70" customHeight="1">
      <x:c r="A238" s="20" t="str">
        <x:v>AS11.36</x:v>
      </x:c>
      <x:c r="B238" s="20" t="str">
        <x:v>Life-cycle assurance</x:v>
      </x:c>
      <x:c r="C238" s="20" t="str">
        <x:v>life-cycle assurance</x:v>
      </x:c>
      <x:c r="D238" s="20" t="str">
        <x:v>Required</x:v>
      </x:c>
      <x:c r="E238" s="20" t="str">
        <x:v>Baseline Level 1 requirement for the proposed module, subject to the cited NIST modification or replacement.</x:v>
      </x:c>
      <x:c r="F238" s="20" t="str">
        <x:v>ISO/IEC 19790:2012 §7.11</x:v>
      </x:c>
      <x:c r="G238" s="20" t="str">
        <x:v>ISO/IEC 24759:2017 §6.11, AS11.36</x:v>
      </x:c>
      <x:c r="H238" s="20" t="str">
        <x:v>VE11.36.01</x:v>
      </x:c>
      <x:c r="I238" s="20" t="str">
        <x:v>TE11.36.01</x:v>
      </x:c>
      <x:c r="J238" s="20" t="str">
        <x:v>SP 800-140 §6.11</x:v>
      </x:c>
      <x:c r="K238" s="20" t="str">
        <x:v>Configuration management, design, FSM, build, delivery, guidance, and functional tests</x:v>
      </x:c>
      <x:c r="L238" s="20" t="str">
        <x:v>Architecture review</x:v>
      </x:c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 ht="70" customHeight="1">
      <x:c r="A239" s="20" t="str">
        <x:v>AS11.38</x:v>
      </x:c>
      <x:c r="B239" s="20" t="str">
        <x:v>Life-cycle assurance</x:v>
      </x:c>
      <x:c r="C239" s="20" t="str">
        <x:v>modes; interfaces; roles</x:v>
      </x:c>
      <x:c r="D239" s="20" t="str">
        <x:v>Conditional</x:v>
      </x:c>
      <x:c r="E239" s="20" t="str">
        <x:v>Level 1 permits implicit role assumption; this applies only if an authentication mechanism is implemented.</x:v>
      </x:c>
      <x:c r="F239" s="20" t="str">
        <x:v>ISO/IEC 19790:2012 §7.11</x:v>
      </x:c>
      <x:c r="G239" s="20" t="str">
        <x:v>ISO/IEC 24759:2017 §6.11, AS11.38</x:v>
      </x:c>
      <x:c r="H239" s="20" t="str">
        <x:v>VE11.38.01, VE11.38.02</x:v>
      </x:c>
      <x:c r="I239" s="20" t="str">
        <x:v>TE11.38.01</x:v>
      </x:c>
      <x:c r="J239" s="20" t="str">
        <x:v>SP 800-140 §6.11</x:v>
      </x:c>
      <x:c r="K239" s="20" t="str">
        <x:v>Configuration management, design, FSM, build, delivery, guidance, and functional tests</x:v>
      </x:c>
      <x:c r="L239" s="20" t="str">
        <x:v>Architecture review</x:v>
      </x:c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 ht="70" customHeight="1">
      <x:c r="A240" s="20" t="str">
        <x:v>AS11.39</x:v>
      </x:c>
      <x:c r="B240" s="20" t="str">
        <x:v>Life-cycle assurance</x:v>
      </x:c>
      <x:c r="C240" s="20" t="str">
        <x:v>approved functions; modes; interfaces</x:v>
      </x:c>
      <x:c r="D240" s="20" t="str">
        <x:v>Required</x:v>
      </x:c>
      <x:c r="E240" s="20" t="str">
        <x:v>Baseline Level 1 requirement for the proposed module, subject to the cited NIST modification or replacement.</x:v>
      </x:c>
      <x:c r="F240" s="20" t="str">
        <x:v>ISO/IEC 19790:2012 §7.11</x:v>
      </x:c>
      <x:c r="G240" s="20" t="str">
        <x:v>ISO/IEC 24759:2017 §6.11, AS11.39</x:v>
      </x:c>
      <x:c r="H240" s="20" t="str">
        <x:v>VE11.39.01, VE11.39.02</x:v>
      </x:c>
      <x:c r="I240" s="20" t="str">
        <x:v>TE11.39.01</x:v>
      </x:c>
      <x:c r="J240" s="20" t="str">
        <x:v>SP 800-140 §6.11</x:v>
      </x:c>
      <x:c r="K240" s="20" t="str">
        <x:v>Configuration management, design, FSM, build, delivery, guidance, and functional tests</x:v>
      </x:c>
      <x:c r="L240" s="20" t="str">
        <x:v>Architecture review</x:v>
      </x:c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 ht="70" customHeight="1">
      <x:c r="A241" s="20" t="str">
        <x:v>AS12.01</x:v>
      </x:c>
      <x:c r="B241" s="20" t="str">
        <x:v>Other attacks</x:v>
      </x:c>
      <x:c r="C241" s="20" t="str">
        <x:v>other attacks</x:v>
      </x:c>
      <x:c r="D241" s="20" t="str">
        <x:v>Not claimed</x:v>
      </x:c>
      <x:c r="E241" s="20" t="str">
        <x:v>The proposed profile will state that no other-attack mitigation is claimed for validation.</x:v>
      </x:c>
      <x:c r="F241" s="20" t="str">
        <x:v>ISO/IEC 19790:2012 §7.12</x:v>
      </x:c>
      <x:c r="G241" s="20" t="str">
        <x:v>ISO/IEC 24759:2017 §6.12, AS12.01</x:v>
      </x:c>
      <x:c r="H241" s="20" t="str">
        <x:v>VE12.01.01</x:v>
      </x:c>
      <x:c r="I241" s="20" t="str">
        <x:v>TE12.01.01</x:v>
      </x:c>
      <x:c r="J241" s="20" t="str">
        <x:v>SP 800-140 §6.12 / IG §12.A</x:v>
      </x:c>
      <x:c r="K241" s="20" t="str">
        <x:v>Explicit no-claim statement, or a complete claimed-mitigation dossier</x:v>
      </x:c>
      <x:c r="L241" s="20" t="str">
        <x:v>Architecture review</x:v>
      </x:c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 ht="70" customHeight="1">
      <x:c r="A242" s="20" t="str">
        <x:v>AS12.02</x:v>
      </x:c>
      <x:c r="B242" s="20" t="str">
        <x:v>Other attacks</x:v>
      </x:c>
      <x:c r="C242" s="20" t="str">
        <x:v>other attacks</x:v>
      </x:c>
      <x:c r="D242" s="20" t="str">
        <x:v>Not claimed</x:v>
      </x:c>
      <x:c r="E242" s="20" t="str">
        <x:v>The proposed profile will state that no other-attack mitigation is claimed for validation.</x:v>
      </x:c>
      <x:c r="F242" s="20" t="str">
        <x:v>ISO/IEC 19790:2012 §7.12</x:v>
      </x:c>
      <x:c r="G242" s="20" t="str">
        <x:v>ISO/IEC 24759:2017 §6.12, AS12.02</x:v>
      </x:c>
      <x:c r="H242" s="20" t="str">
        <x:v>VE12.02.01</x:v>
      </x:c>
      <x:c r="I242" s="20" t="str">
        <x:v>TE12.02.01</x:v>
      </x:c>
      <x:c r="J242" s="20" t="str">
        <x:v>SP 800-140 §6.12 / IG §12.A</x:v>
      </x:c>
      <x:c r="K242" s="20" t="str">
        <x:v>Explicit no-claim statement, or a complete claimed-mitigation dossier</x:v>
      </x:c>
      <x:c r="L242" s="20" t="str">
        <x:v>Architecture review</x:v>
      </x:c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 ht="70" customHeight="1">
      <x:c r="A243" s="20" t="str">
        <x:v>ASA.01</x:v>
      </x:c>
      <x:c r="B243" s="20" t="str">
        <x:v>Documentation</x:v>
      </x:c>
      <x:c r="C243" s="20" t="str">
        <x:v>documentation</x:v>
      </x:c>
      <x:c r="D243" s="20" t="str">
        <x:v>Required</x:v>
      </x:c>
      <x:c r="E243" s="20" t="str">
        <x:v>Baseline Level 1 requirement for the proposed module, subject to the cited NIST modification or replacement.</x:v>
      </x:c>
      <x:c r="F243" s="20" t="str">
        <x:v>ISO/IEC 19790:2012 Annex A</x:v>
      </x:c>
      <x:c r="G243" s="20" t="str">
        <x:v>ISO/IEC 24759:2017 §6.13, ASA.01</x:v>
      </x:c>
      <x:c r="H243" s="20" t="str">
        <x:v>VEA.01.01</x:v>
      </x:c>
      <x:c r="I243" s="20" t="str">
        <x:v>TEA.01.01</x:v>
      </x:c>
      <x:c r="J243" s="20" t="str">
        <x:v>SP 800-140A</x:v>
      </x:c>
      <x:c r="K243" s="20" t="str">
        <x:v>Controlled vendor-document index cross-referenced to every Annex A item</x:v>
      </x:c>
      <x:c r="L243" s="20" t="str">
        <x:v>Architecture review</x:v>
      </x:c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 ht="70" customHeight="1">
      <x:c r="A244" s="20" t="str">
        <x:v>ASB.01</x:v>
      </x:c>
      <x:c r="B244" s="20" t="str">
        <x:v>Security Policy</x:v>
      </x:c>
      <x:c r="C244" s="20" t="str">
        <x:v>security policy</x:v>
      </x:c>
      <x:c r="D244" s="20" t="str">
        <x:v>Required</x:v>
      </x:c>
      <x:c r="E244" s="20" t="str">
        <x:v>Baseline Level 1 requirement for the proposed module, subject to the cited NIST modification or replacement.</x:v>
      </x:c>
      <x:c r="F244" s="20" t="str">
        <x:v>ISO/IEC 19790:2012 Annex B</x:v>
      </x:c>
      <x:c r="G244" s="20" t="str">
        <x:v>ISO/IEC 24759:2017 §6.14, ASB.01</x:v>
      </x:c>
      <x:c r="H244" s="20" t="str">
        <x:v>VEB.01.01</x:v>
      </x:c>
      <x:c r="I244" s="20" t="str">
        <x:v>TEB.01.01</x:v>
      </x:c>
      <x:c r="J244" s="20" t="str">
        <x:v>SP 800-140B Rev.1</x:v>
      </x:c>
      <x:c r="K244" s="20" t="str">
        <x:v>Public Security Policy crosswalk in Annex B order and current MIS/template output</x:v>
      </x:c>
      <x:c r="L244" s="20" t="str">
        <x:v>Architecture review</x:v>
      </x:c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 ht="70" customHeight="1">
      <x:c r="A245" s="20" t="str">
        <x:v>ASB.02</x:v>
      </x:c>
      <x:c r="B245" s="20" t="str">
        <x:v>Security Policy</x:v>
      </x:c>
      <x:c r="C245" s="20" t="str">
        <x:v>security policy</x:v>
      </x:c>
      <x:c r="D245" s="20" t="str">
        <x:v>Required</x:v>
      </x:c>
      <x:c r="E245" s="20" t="str">
        <x:v>Baseline Level 1 requirement for the proposed module, subject to the cited NIST modification or replacement.</x:v>
      </x:c>
      <x:c r="F245" s="20" t="str">
        <x:v>ISO/IEC 19790:2012 Annex B</x:v>
      </x:c>
      <x:c r="G245" s="20" t="str">
        <x:v>ISO/IEC 24759:2017 §6.14, ASB.02</x:v>
      </x:c>
      <x:c r="H245" s="20" t="str">
        <x:v>VEB.02.01</x:v>
      </x:c>
      <x:c r="I245" s="20" t="str">
        <x:v>TEB.02.01</x:v>
      </x:c>
      <x:c r="J245" s="20" t="str">
        <x:v>SP 800-140B Rev.1</x:v>
      </x:c>
      <x:c r="K245" s="20" t="str">
        <x:v>Public Security Policy crosswalk in Annex B order and current MIS/template output</x:v>
      </x:c>
      <x:c r="L245" s="20" t="str">
        <x:v>Architecture review</x:v>
      </x:c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 ht="70" customHeight="1">
      <x:c r="A246" s="20" t="str">
        <x:v>ASB.03</x:v>
      </x:c>
      <x:c r="B246" s="20" t="str">
        <x:v>Security Policy</x:v>
      </x:c>
      <x:c r="C246" s="20" t="str">
        <x:v>security policy</x:v>
      </x:c>
      <x:c r="D246" s="20" t="str">
        <x:v>Required</x:v>
      </x:c>
      <x:c r="E246" s="20" t="str">
        <x:v>Baseline Level 1 requirement for the proposed module, subject to the cited NIST modification or replacement.</x:v>
      </x:c>
      <x:c r="F246" s="20" t="str">
        <x:v>ISO/IEC 19790:2012 Annex B</x:v>
      </x:c>
      <x:c r="G246" s="20" t="str">
        <x:v>ISO/IEC 24759:2017 §6.14, ASB.03</x:v>
      </x:c>
      <x:c r="H246" s="20" t="str">
        <x:v>VEB.03.01, VEB.03.02</x:v>
      </x:c>
      <x:c r="I246" s="20" t="str">
        <x:v>TEB.03.01, TEB.03.02</x:v>
      </x:c>
      <x:c r="J246" s="20" t="str">
        <x:v>SP 800-140B Rev.1</x:v>
      </x:c>
      <x:c r="K246" s="20" t="str">
        <x:v>Public Security Policy crosswalk in Annex B order and current MIS/template output</x:v>
      </x:c>
      <x:c r="L246" s="20" t="str">
        <x:v>Architecture review</x:v>
      </x:c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L2"/>
    <x:mergeCell ref="A3:L3"/>
  </x:mergeCells>
  <x:conditionalFormatting sqref="D7:D246">
    <x:cfRule type="containsText" dxfId="7" priority="1" operator="containsText" text="Required"/>
    <x:cfRule type="containsText" dxfId="8" priority="2" operator="containsText" text="Conditional"/>
    <x:cfRule type="containsText" dxfId="9" priority="3" operator="containsText" text="Not applicable"/>
  </x:conditionalFormatting>
  <x:pageMargins left="0.7" right="0.7" top="0.75" bottom="0.75" header="0.3" footer="0.3"/>
  <x:tableParts count="1">
    <x:tablePart xmlns:r="http://schemas.openxmlformats.org/officeDocument/2006/relationships" r:id="R2a10c7d5da5d490c"/>
  </x:tableParts>
</x:worksheet>
</file>

<file path=xl/worksheets/sheet6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3" hidden="0" customWidth="1"/>
    <x:col min="2" max="2" width="28" hidden="0" customWidth="1"/>
    <x:col min="3" max="3" width="52" hidden="0" customWidth="1"/>
    <x:col min="4" max="4" width="20" hidden="0" customWidth="1"/>
    <x:col min="5" max="5" width="34" hidden="0" customWidth="1"/>
    <x:col min="6" max="6" width="20" hidden="0" customWidth="1"/>
    <x:col min="7" max="7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Evidence Development Plan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Controlled artifacts that make each requirement traceable to design, implementation, testing, and review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Evidence ID</x:v>
      </x:c>
      <x:c r="B6" s="18" t="str">
        <x:v>Artifact</x:v>
      </x:c>
      <x:c r="C6" s="18" t="str">
        <x:v>Required contents</x:v>
      </x:c>
      <x:c r="D6" s="18" t="str">
        <x:v>Requirement areas</x:v>
      </x:c>
      <x:c r="E6" s="18" t="str">
        <x:v>Recommended form</x:v>
      </x:c>
      <x:c r="F6" s="18" t="str">
        <x:v>Owner</x:v>
      </x:c>
      <x:c r="G6" s="19" t="str">
        <x:v>Status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4" customHeight="1">
      <x:c r="A7" s="20" t="str">
        <x:v>E-001</x:v>
      </x:c>
      <x:c r="B7" s="20" t="str">
        <x:v>Module architecture specification</x:v>
      </x:c>
      <x:c r="C7" s="20" t="str">
        <x:v>Boundary, TOEPP, components, dependencies, CPU paths, data flows</x:v>
      </x:c>
      <x:c r="D7" s="20" t="str">
        <x:v>SPEC, IF, OE</x:v>
      </x:c>
      <x:c r="E7" s="20" t="str">
        <x:v>Controlled Markdown/PDF + diagrams</x:v>
      </x:c>
      <x:c r="F7" s="20" t="str">
        <x:v>Architecture owner</x:v>
      </x:c>
      <x:c r="G7" s="20" t="str">
        <x:v>Not started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4" customHeight="1">
      <x:c r="A8" s="20" t="str">
        <x:v>E-002</x:v>
      </x:c>
      <x:c r="B8" s="20" t="str">
        <x:v>Requirements traceability matrix</x:v>
      </x:c>
      <x:c r="C8" s="20" t="str">
        <x:v>Every AS/VE/TE to design, code, test, and document evidence</x:v>
      </x:c>
      <x:c r="D8" s="20" t="str">
        <x:v>All</x:v>
      </x:c>
      <x:c r="E8" s="20" t="str">
        <x:v>Machine-readable CSV/JSON + generated report</x:v>
      </x:c>
      <x:c r="F8" s="20" t="str">
        <x:v>Compliance owner</x:v>
      </x:c>
      <x:c r="G8" s="20" t="str">
        <x:v>In progress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4" customHeight="1">
      <x:c r="A9" s="20" t="str">
        <x:v>E-003</x:v>
      </x:c>
      <x:c r="B9" s="20" t="str">
        <x:v>Security Policy source</x:v>
      </x:c>
      <x:c r="C9" s="20" t="str">
        <x:v>Current CMVP template content plus MIS-generated tables</x:v>
      </x:c>
      <x:c r="D9" s="20" t="str">
        <x:v>GEN, SPEC, ROLE, SW, OE, SSP, TEST, LC</x:v>
      </x:c>
      <x:c r="E9" s="20" t="str">
        <x:v>DOCX/JSON → CMVP-generated PDF</x:v>
      </x:c>
      <x:c r="F9" s="20" t="str">
        <x:v>Compliance owner</x:v>
      </x:c>
      <x:c r="G9" s="20" t="str">
        <x:v>Not started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4" customHeight="1">
      <x:c r="A10" s="20" t="str">
        <x:v>E-004</x:v>
      </x:c>
      <x:c r="B10" s="20" t="str">
        <x:v>MIS package</x:v>
      </x:c>
      <x:c r="C10" s="20" t="str">
        <x:v>Current schema; algorithm/OE/service/SSP relationships</x:v>
      </x:c>
      <x:c r="D10" s="20" t="str">
        <x:v>GEN, SPEC, ALG</x:v>
      </x:c>
      <x:c r="E10" s="20" t="str">
        <x:v>Validated JSON</x:v>
      </x:c>
      <x:c r="F10" s="20" t="str">
        <x:v>Compliance owner</x:v>
      </x:c>
      <x:c r="G10" s="20" t="str">
        <x:v>Not started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4" customHeight="1">
      <x:c r="A11" s="20" t="str">
        <x:v>E-005</x:v>
      </x:c>
      <x:c r="B11" s="20" t="str">
        <x:v>Finite-state model</x:v>
      </x:c>
      <x:c r="C11" s="20" t="str">
        <x:v>Modes, roles, services, tests, errors, transitions</x:v>
      </x:c>
      <x:c r="D11" s="20" t="str">
        <x:v>ROLE, TEST, LC</x:v>
      </x:c>
      <x:c r="E11" s="20" t="str">
        <x:v>Formal table/diagram + executable tests</x:v>
      </x:c>
      <x:c r="F11" s="20" t="str">
        <x:v>Design owner</x:v>
      </x:c>
      <x:c r="G11" s="20" t="str">
        <x:v>Not started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64" customHeight="1">
      <x:c r="A12" s="20" t="str">
        <x:v>E-006</x:v>
      </x:c>
      <x:c r="B12" s="20" t="str">
        <x:v>Algorithm conformance dossiers</x:v>
      </x:c>
      <x:c r="C12" s="20" t="str">
        <x:v>Full standards crosswalk beyond ACVP-covered behaviors</x:v>
      </x:c>
      <x:c r="D12" s="20" t="str">
        <x:v>ALG, TEST</x:v>
      </x:c>
      <x:c r="E12" s="20" t="str">
        <x:v>One dossier per algorithm family</x:v>
      </x:c>
      <x:c r="F12" s="20" t="str">
        <x:v>Algorithm owners</x:v>
      </x:c>
      <x:c r="G12" s="20" t="str">
        <x:v>Not started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64" customHeight="1">
      <x:c r="A13" s="20" t="str">
        <x:v>E-007</x:v>
      </x:c>
      <x:c r="B13" s="20" t="str">
        <x:v>CAVP certificates and capability records</x:v>
      </x:c>
      <x:c r="C13" s="20" t="str">
        <x:v>Each implementation and OE; exact modes/parameters</x:v>
      </x:c>
      <x:c r="D13" s="20" t="str">
        <x:v>ALG</x:v>
      </x:c>
      <x:c r="E13" s="20" t="str">
        <x:v>Certificates + ACVP registration/vector/result archives</x:v>
      </x:c>
      <x:c r="F13" s="20" t="str">
        <x:v>Validation owner</x:v>
      </x:c>
      <x:c r="G13" s="20" t="str">
        <x:v>Not started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64" customHeight="1">
      <x:c r="A14" s="20" t="str">
        <x:v>E-008</x:v>
      </x:c>
      <x:c r="B14" s="20" t="str">
        <x:v>Entropy/RBG dossier</x:v>
      </x:c>
      <x:c r="C14" s="20" t="str">
        <x:v>Source design, OE analysis, EAR/PUD/DCA/data/RBG report as applicable</x:v>
      </x:c>
      <x:c r="D14" s="20" t="str">
        <x:v>SSP</x:v>
      </x:c>
      <x:c r="E14" s="20" t="str">
        <x:v>ESV/RBG package</x:v>
      </x:c>
      <x:c r="F14" s="20" t="str">
        <x:v>Entropy owner</x:v>
      </x:c>
      <x:c r="G14" s="20" t="str">
        <x:v>Decision required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64" customHeight="1">
      <x:c r="A15" s="20" t="str">
        <x:v>E-009</x:v>
      </x:c>
      <x:c r="B15" s="20" t="str">
        <x:v>SSP lifecycle register</x:v>
      </x:c>
      <x:c r="C15" s="20" t="str">
        <x:v>Generation, entry/output, storage, use, access, zeroisation</x:v>
      </x:c>
      <x:c r="D15" s="20" t="str">
        <x:v>SSP</x:v>
      </x:c>
      <x:c r="E15" s="20" t="str">
        <x:v>Structured table + diagrams</x:v>
      </x:c>
      <x:c r="F15" s="20" t="str">
        <x:v>Design owner</x:v>
      </x:c>
      <x:c r="G15" s="20" t="str">
        <x:v>Not started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4" customHeight="1">
      <x:c r="A16" s="20" t="str">
        <x:v>E-010</x:v>
      </x:c>
      <x:c r="B16" s="20" t="str">
        <x:v>Self-test specification</x:v>
      </x:c>
      <x:c r="C16" s="20" t="str">
        <x:v>CAST/PCT/integrity/periodic/on-demand/error behavior and coverage</x:v>
      </x:c>
      <x:c r="D16" s="20" t="str">
        <x:v>TEST</x:v>
      </x:c>
      <x:c r="E16" s="20" t="str">
        <x:v>Specification + vectors + injected-failure results</x:v>
      </x:c>
      <x:c r="F16" s="20" t="str">
        <x:v>Test owner</x:v>
      </x:c>
      <x:c r="G16" s="20" t="str">
        <x:v>Not started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64" customHeight="1">
      <x:c r="A17" s="20" t="str">
        <x:v>E-011</x:v>
      </x:c>
      <x:c r="B17" s="20" t="str">
        <x:v>Zeroisation analysis</x:v>
      </x:c>
      <x:c r="C17" s="20" t="str">
        <x:v>Copies, compiler behavior, allocator/stack/heap, timing, verification</x:v>
      </x:c>
      <x:c r="D17" s="20" t="str">
        <x:v>SSP</x:v>
      </x:c>
      <x:c r="E17" s="20" t="str">
        <x:v>Design analysis + tests</x:v>
      </x:c>
      <x:c r="F17" s="20" t="str">
        <x:v>Implementation owner</x:v>
      </x:c>
      <x:c r="G17" s="20" t="str">
        <x:v>Not started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64" customHeight="1">
      <x:c r="A18" s="20" t="str">
        <x:v>E-012</x:v>
      </x:c>
      <x:c r="B18" s="20" t="str">
        <x:v>Reproducible build record</x:v>
      </x:c>
      <x:c r="C18" s="20" t="str">
        <x:v>Toolchain, target, flags, features, dependencies, provenance, hashes</x:v>
      </x:c>
      <x:c r="D18" s="20" t="str">
        <x:v>SW, LC</x:v>
      </x:c>
      <x:c r="E18" s="20" t="str">
        <x:v>Build manifest + signed release record</x:v>
      </x:c>
      <x:c r="F18" s="20" t="str">
        <x:v>Release owner</x:v>
      </x:c>
      <x:c r="G18" s="20" t="str">
        <x:v>Partially available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64" customHeight="1">
      <x:c r="A19" s="20" t="str">
        <x:v>E-013</x:v>
      </x:c>
      <x:c r="B19" s="20" t="str">
        <x:v>Configuration-management plan</x:v>
      </x:c>
      <x:c r="C19" s="20" t="str">
        <x:v>Versioning, branches, reviews, release gates, artifact retention</x:v>
      </x:c>
      <x:c r="D19" s="20" t="str">
        <x:v>LC</x:v>
      </x:c>
      <x:c r="E19" s="20" t="str">
        <x:v>Controlled procedure</x:v>
      </x:c>
      <x:c r="F19" s="20" t="str">
        <x:v>Release owner</x:v>
      </x:c>
      <x:c r="G19" s="20" t="str">
        <x:v>Partially available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64" customHeight="1">
      <x:c r="A20" s="20" t="str">
        <x:v>E-014</x:v>
      </x:c>
      <x:c r="B20" s="20" t="str">
        <x:v>Installation/admin/user guidance</x:v>
      </x:c>
      <x:c r="C20" s="20" t="str">
        <x:v>Exact validated artifact identification and approved operation</x:v>
      </x:c>
      <x:c r="D20" s="20" t="str">
        <x:v>LC</x:v>
      </x:c>
      <x:c r="E20" s="20" t="str">
        <x:v>Guidance documents</x:v>
      </x:c>
      <x:c r="F20" s="20" t="str">
        <x:v>Documentation owner</x:v>
      </x:c>
      <x:c r="G20" s="20" t="str">
        <x:v>Not started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64" customHeight="1">
      <x:c r="A21" s="20" t="str">
        <x:v>E-015</x:v>
      </x:c>
      <x:c r="B21" s="20" t="str">
        <x:v>Functional test report</x:v>
      </x:c>
      <x:c r="C21" s="20" t="str">
        <x:v>Requirement-linked positive/negative/fault tests</x:v>
      </x:c>
      <x:c r="D21" s="20" t="str">
        <x:v>LC, TEST</x:v>
      </x:c>
      <x:c r="E21" s="20" t="str">
        <x:v>Automated reports + narrative</x:v>
      </x:c>
      <x:c r="F21" s="20" t="str">
        <x:v>Test owner</x:v>
      </x:c>
      <x:c r="G21" s="20" t="str">
        <x:v>Not started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64" customHeight="1">
      <x:c r="A22" s="20" t="str">
        <x:v>E-016</x:v>
      </x:c>
      <x:c r="B22" s="20" t="str">
        <x:v>CVE/SBOM process</x:v>
      </x:c>
      <x:c r="C22" s="20" t="str">
        <x:v>Inventory, monitoring, relevance decisions, remediation/revalidation</x:v>
      </x:c>
      <x:c r="D22" s="20" t="str">
        <x:v>LC</x:v>
      </x:c>
      <x:c r="E22" s="20" t="str">
        <x:v>SBOM + signed assessments + procedure</x:v>
      </x:c>
      <x:c r="F22" s="20" t="str">
        <x:v>Security owner</x:v>
      </x:c>
      <x:c r="G22" s="20" t="str">
        <x:v>Not started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64" customHeight="1">
      <x:c r="A23" s="20" t="str">
        <x:v>E-017</x:v>
      </x:c>
      <x:c r="B23" s="20" t="str">
        <x:v>Operational environment matrix</x:v>
      </x:c>
      <x:c r="C23" s="20" t="str">
        <x:v>OS, processor, platform, compiler, features, implementation, certificates</x:v>
      </x:c>
      <x:c r="D23" s="20" t="str">
        <x:v>OE, ALG</x:v>
      </x:c>
      <x:c r="E23" s="20" t="str">
        <x:v>Structured matrix</x:v>
      </x:c>
      <x:c r="F23" s="20" t="str">
        <x:v>Validation owner</x:v>
      </x:c>
      <x:c r="G23" s="20" t="str">
        <x:v>Not started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64" customHeight="1">
      <x:c r="A24" s="20" t="str">
        <x:v>E-018</x:v>
      </x:c>
      <x:c r="B24" s="20" t="str">
        <x:v>Open-source notices and provenance</x:v>
      </x:c>
      <x:c r="C24" s="20" t="str">
        <x:v>Licenses, notices, third-party source provenance</x:v>
      </x:c>
      <x:c r="D24" s="20" t="str">
        <x:v>LC</x:v>
      </x:c>
      <x:c r="E24" s="20" t="str">
        <x:v>SBOM/license report/NOTICE</x:v>
      </x:c>
      <x:c r="F24" s="20" t="str">
        <x:v>Release owner</x:v>
      </x:c>
      <x:c r="G24" s="20" t="str">
        <x:v>Partially available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64" customHeight="1">
      <x:c r="A25" s="20" t="str">
        <x:v>E-019</x:v>
      </x:c>
      <x:c r="B25" s="20" t="str">
        <x:v>CSTL decisions log</x:v>
      </x:c>
      <x:c r="C25" s="20" t="str">
        <x:v>Early interpretations, RFGs, scope and applicability decisions</x:v>
      </x:c>
      <x:c r="D25" s="20" t="str">
        <x:v>All</x:v>
      </x:c>
      <x:c r="E25" s="20" t="str">
        <x:v>Decision log with dates and authority</x:v>
      </x:c>
      <x:c r="F25" s="20" t="str">
        <x:v>Compliance owner</x:v>
      </x:c>
      <x:c r="G25" s="20" t="str">
        <x:v>Not started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64" customHeight="1">
      <x:c r="A26" s="20" t="str">
        <x:v>E-020</x:v>
      </x:c>
      <x:c r="B26" s="20" t="str">
        <x:v>Standards baseline/change log</x:v>
      </x:c>
      <x:c r="C26" s="20" t="str">
        <x:v>Versioned register of NIST/CMVP/ISO sources and effective dates</x:v>
      </x:c>
      <x:c r="D26" s="20" t="str">
        <x:v>All</x:v>
      </x:c>
      <x:c r="E26" s="20" t="str">
        <x:v>Source register + periodic review record</x:v>
      </x:c>
      <x:c r="F26" s="20" t="str">
        <x:v>Compliance owner</x:v>
      </x:c>
      <x:c r="G26" s="20" t="str">
        <x:v>In progress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conditionalFormatting sqref="G7:G26">
    <x:cfRule type="containsText" dxfId="10" priority="1" operator="containsText" text="Decision required"/>
  </x:conditionalFormatting>
  <x:dataValidations count="1">
    <x:dataValidation type="list" sqref="G7:G26">
      <x:formula1>"Not started,In progress,Partially available,Decision required,Complete"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4132ef50e7418b"/>
  </x:tableParts>
</x:worksheet>
</file>

<file path=xl/worksheets/sheet7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4" hidden="0" customWidth="1"/>
    <x:col min="2" max="2" width="40" hidden="0" customWidth="1"/>
    <x:col min="3" max="3" width="24" hidden="0" customWidth="1"/>
    <x:col min="4" max="4" width="44" hidden="0" customWidth="1"/>
    <x:col min="5" max="5" width="26" hidden="0" customWidth="1"/>
    <x:col min="6" max="6" width="24" hidden="0" customWidth="1"/>
    <x:col min="7" max="7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Authoritative Source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NIST/CMVP sources reviewed or identified for this validation scope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Document</x:v>
      </x:c>
      <x:c r="B6" s="18" t="str">
        <x:v>Title / subject</x:v>
      </x:c>
      <x:c r="C6" s="18" t="str">
        <x:v>Version or date</x:v>
      </x:c>
      <x:c r="D6" s="18" t="str">
        <x:v>Role in validation</x:v>
      </x:c>
      <x:c r="E6" s="18" t="str">
        <x:v>Authority type</x:v>
      </x:c>
      <x:c r="F6" s="18" t="str">
        <x:v>Review status</x:v>
      </x:c>
      <x:c r="G6" s="19" t="str">
        <x:v>Official URL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58" customHeight="1">
      <x:c r="A7" s="20" t="str">
        <x:v>FIPS 140-3</x:v>
      </x:c>
      <x:c r="B7" s="20" t="str">
        <x:v>Security Requirements for Cryptographic Modules</x:v>
      </x:c>
      <x:c r="C7" s="20" t="str">
        <x:v>2019-03-22</x:v>
      </x:c>
      <x:c r="D7" s="20" t="str">
        <x:v>Controlling FIPS; adopts ISO base and NIST modifications</x:v>
      </x:c>
      <x:c r="E7" s="20" t="str">
        <x:v>Normative</x:v>
      </x:c>
      <x:c r="F7" s="20" t="str">
        <x:v>Reviewed</x:v>
      </x:c>
      <x:c r="G7" s="21" t="str">
        <x:v>https://doi.org/10.6028/NIST.FIPS.140-3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58" customHeight="1">
      <x:c r="A8" s="20" t="str">
        <x:v>ISO/IEC 19790</x:v>
      </x:c>
      <x:c r="B8" s="20" t="str">
        <x:v>Security requirements for cryptographic modules</x:v>
      </x:c>
      <x:c r="C8" s="20" t="str">
        <x:v>INCITS/ISO/IEC 19790:2012(2014), corrected 2015-12-15</x:v>
      </x:c>
      <x:c r="D8" s="20" t="str">
        <x:v>Base module requirements</x:v>
      </x:c>
      <x:c r="E8" s="20" t="str">
        <x:v>Normative / licensed</x:v>
      </x:c>
      <x:c r="F8" s="20" t="str">
        <x:v>Reviewed 2026-10-05; restricted source; SHA-256 5a26064d…f203</x:v>
      </x:c>
      <x:c r="G8" s="21" t="str">
        <x:v>https://www.iso.org/standard/52906.html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58" customHeight="1">
      <x:c r="A9" s="20" t="str">
        <x:v>ISO/IEC 24759</x:v>
      </x:c>
      <x:c r="B9" s="20" t="str">
        <x:v>Test requirements for cryptographic modules</x:v>
      </x:c>
      <x:c r="C9" s="20" t="str">
        <x:v>ISO/IEC 24759:2017; incorporates 2014 corrigendum</x:v>
      </x:c>
      <x:c r="D9" s="20" t="str">
        <x:v>Base AS/VE/TE requirements</x:v>
      </x:c>
      <x:c r="E9" s="20" t="str">
        <x:v>Normative / licensed</x:v>
      </x:c>
      <x:c r="F9" s="20" t="str">
        <x:v>Indexed 2026-10-05; restricted source; SHA-256 14467a43…246d</x:v>
      </x:c>
      <x:c r="G9" s="21" t="str">
        <x:v>https://www.iso.org/standard/72515.html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58" customHeight="1">
      <x:c r="A10" s="20" t="str">
        <x:v>SP 800-140</x:v>
      </x:c>
      <x:c r="B10" s="20" t="str">
        <x:v>FIPS 140-3 Derived Test Requirements</x:v>
      </x:c>
      <x:c r="C10" s="20" t="str">
        <x:v>2020-03</x:v>
      </x:c>
      <x:c r="D10" s="20" t="str">
        <x:v>Modifies ISO 24759 §§6.1–6.12</x:v>
      </x:c>
      <x:c r="E10" s="20" t="str">
        <x:v>Normative CMVP modification</x:v>
      </x:c>
      <x:c r="F10" s="20" t="str">
        <x:v>Reviewed</x:v>
      </x:c>
      <x:c r="G10" s="21" t="str">
        <x:v>https://doi.org/10.6028/NIST.SP.800-140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58" customHeight="1">
      <x:c r="A11" s="20" t="str">
        <x:v>SP 800-140A</x:v>
      </x:c>
      <x:c r="B11" s="20" t="str">
        <x:v>CMVP Documentation Requirements</x:v>
      </x:c>
      <x:c r="C11" s="20" t="str">
        <x:v>2020-03</x:v>
      </x:c>
      <x:c r="D11" s="20" t="str">
        <x:v>Modifies 19790 Annex A / 24759 §6.13</x:v>
      </x:c>
      <x:c r="E11" s="20" t="str">
        <x:v>Normative CMVP modification</x:v>
      </x:c>
      <x:c r="F11" s="20" t="str">
        <x:v>Reviewed</x:v>
      </x:c>
      <x:c r="G11" s="21" t="str">
        <x:v>https://doi.org/10.6028/NIST.SP.800-140A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58" customHeight="1">
      <x:c r="A12" s="20" t="str">
        <x:v>SP 800-140B Rev.1</x:v>
      </x:c>
      <x:c r="B12" s="20" t="str">
        <x:v>CMVP Security Policy Requirements</x:v>
      </x:c>
      <x:c r="C12" s="20" t="str">
        <x:v>2023-11</x:v>
      </x:c>
      <x:c r="D12" s="20" t="str">
        <x:v>Modifies 19790 Annex B / 24759 §6.14; defines structure</x:v>
      </x:c>
      <x:c r="E12" s="20" t="str">
        <x:v>Normative CMVP modification</x:v>
      </x:c>
      <x:c r="F12" s="20" t="str">
        <x:v>Reviewed</x:v>
      </x:c>
      <x:c r="G12" s="21" t="str">
        <x:v>https://doi.org/10.6028/NIST.SP.800-140Br1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58" customHeight="1">
      <x:c r="A13" s="20" t="str">
        <x:v>SP 800-140C Rev.2</x:v>
      </x:c>
      <x:c r="B13" s="20" t="str">
        <x:v>CMVP-Approved Security Functions</x:v>
      </x:c>
      <x:c r="C13" s="20" t="str">
        <x:v>2023-07</x:v>
      </x:c>
      <x:c r="D13" s="20" t="str">
        <x:v>Delegates current approved list to supplemental web page</x:v>
      </x:c>
      <x:c r="E13" s="20" t="str">
        <x:v>Normative CMVP replacement</x:v>
      </x:c>
      <x:c r="F13" s="20" t="str">
        <x:v>Reviewed</x:v>
      </x:c>
      <x:c r="G13" s="21" t="str">
        <x:v>https://doi.org/10.6028/NIST.SP.800-140Cr2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58" customHeight="1">
      <x:c r="A14" s="20" t="str">
        <x:v>SP 800-140C supplemental</x:v>
      </x:c>
      <x:c r="B14" s="20" t="str">
        <x:v>Approved Security Functions live list</x:v>
      </x:c>
      <x:c r="C14" s="20" t="str">
        <x:v>Updated 2026-08-21</x:v>
      </x:c>
      <x:c r="D14" s="20" t="str">
        <x:v>Current approved algorithm/function references</x:v>
      </x:c>
      <x:c r="E14" s="20" t="str">
        <x:v>Normative mutable list</x:v>
      </x:c>
      <x:c r="F14" s="20" t="str">
        <x:v>Reviewed 2026-10-02</x:v>
      </x:c>
      <x:c r="G14" s="21" t="str">
        <x:v>https://csrc.nist.gov/projects/cmvp/sp800-140c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58" customHeight="1">
      <x:c r="A15" s="20" t="str">
        <x:v>SP 800-140D Rev.2</x:v>
      </x:c>
      <x:c r="B15" s="20" t="str">
        <x:v>Approved SSP Generation and Establishment Methods</x:v>
      </x:c>
      <x:c r="C15" s="20" t="str">
        <x:v>2023-07</x:v>
      </x:c>
      <x:c r="D15" s="20" t="str">
        <x:v>Delegates current approved list to supplemental web page</x:v>
      </x:c>
      <x:c r="E15" s="20" t="str">
        <x:v>Normative CMVP replacement</x:v>
      </x:c>
      <x:c r="F15" s="20" t="str">
        <x:v>Reviewed</x:v>
      </x:c>
      <x:c r="G15" s="21" t="str">
        <x:v>https://doi.org/10.6028/NIST.SP.800-140Dr2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58" customHeight="1">
      <x:c r="A16" s="20" t="str">
        <x:v>SP 800-140D supplemental</x:v>
      </x:c>
      <x:c r="B16" s="20" t="str">
        <x:v>Approved SSPEM live list</x:v>
      </x:c>
      <x:c r="C16" s="20" t="str">
        <x:v>Updated 2026-08-21</x:v>
      </x:c>
      <x:c r="D16" s="20" t="str">
        <x:v>Current key generation/establishment and RBG references</x:v>
      </x:c>
      <x:c r="E16" s="20" t="str">
        <x:v>Normative mutable list</x:v>
      </x:c>
      <x:c r="F16" s="20" t="str">
        <x:v>Reviewed 2026-10-02</x:v>
      </x:c>
      <x:c r="G16" s="21" t="str">
        <x:v>https://csrc.nist.gov/projects/cmvp/sp800-140d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58" customHeight="1">
      <x:c r="A17" s="20" t="str">
        <x:v>SP 800-140E</x:v>
      </x:c>
      <x:c r="B17" s="20" t="str">
        <x:v>Approved Authentication Mechanisms</x:v>
      </x:c>
      <x:c r="C17" s="20" t="str">
        <x:v>2020-03</x:v>
      </x:c>
      <x:c r="D17" s="20" t="str">
        <x:v>Level 1 authentication can be implicit; requirements if used</x:v>
      </x:c>
      <x:c r="E17" s="20" t="str">
        <x:v>Normative CMVP replacement</x:v>
      </x:c>
      <x:c r="F17" s="20" t="str">
        <x:v>Reviewed</x:v>
      </x:c>
      <x:c r="G17" s="21" t="str">
        <x:v>https://doi.org/10.6028/NIST.SP.800-140E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58" customHeight="1">
      <x:c r="A18" s="20" t="str">
        <x:v>SP 800-140F</x:v>
      </x:c>
      <x:c r="B18" s="20" t="str">
        <x:v>Non-Invasive Attack Mitigation Test Metrics</x:v>
      </x:c>
      <x:c r="C18" s="20" t="str">
        <x:v>2020-03</x:v>
      </x:c>
      <x:c r="D18" s="20" t="str">
        <x:v>No approved metrics currently listed</x:v>
      </x:c>
      <x:c r="E18" s="20" t="str">
        <x:v>Normative CMVP replacement</x:v>
      </x:c>
      <x:c r="F18" s="20" t="str">
        <x:v>Reviewed</x:v>
      </x:c>
      <x:c r="G18" s="21" t="str">
        <x:v>https://doi.org/10.6028/NIST.SP.800-140F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58" customHeight="1">
      <x:c r="A19" s="20" t="str">
        <x:v>FIPS 140-3 IG</x:v>
      </x:c>
      <x:c r="B19" s="20" t="str">
        <x:v>Implementation Guidance</x:v>
      </x:c>
      <x:c r="C19" s="20" t="str">
        <x:v>2026-08-19</x:v>
      </x:c>
      <x:c r="D19" s="20" t="str">
        <x:v>Current clarifications and additional constraints</x:v>
      </x:c>
      <x:c r="E19" s="20" t="str">
        <x:v>Binding program guidance</x:v>
      </x:c>
      <x:c r="F19" s="20" t="str">
        <x:v>Reviewed relevant sections</x:v>
      </x:c>
      <x:c r="G19" s="21" t="str">
        <x:v>https://csrc.nist.gov/csrc/media/Projects/cryptographic-module-validation-program/documents/fips%20140-3/FIPS%20140-3%20IG.pdf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58" customHeight="1">
      <x:c r="A20" s="20" t="str">
        <x:v>CMVP Management Manual</x:v>
      </x:c>
      <x:c r="B20" s="20" t="str">
        <x:v>Program process and lifecycle</x:v>
      </x:c>
      <x:c r="C20" s="20" t="str">
        <x:v>2026-04-09</x:v>
      </x:c>
      <x:c r="D20" s="20" t="str">
        <x:v>Vendor/CSTL duties, submission, ESV, revalidation, CVEs</x:v>
      </x:c>
      <x:c r="E20" s="20" t="str">
        <x:v>Binding program process</x:v>
      </x:c>
      <x:c r="F20" s="20" t="str">
        <x:v>Reviewed relevant sections</x:v>
      </x:c>
      <x:c r="G20" s="21" t="str">
        <x:v>https://csrc.nist.gov/csrc/media/Projects/cryptographic-module-validation-program/documents/fips%20140-3/FIPS-140-3-CMVP%20Management%20Manual.pdf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58" customHeight="1">
      <x:c r="A21" s="20" t="str">
        <x:v>CMVP 140-3 Resources</x:v>
      </x:c>
      <x:c r="B21" s="20" t="str">
        <x:v>TE documentation and regression resources</x:v>
      </x:c>
      <x:c r="C21" s="20" t="str">
        <x:v>Current web page</x:v>
      </x:c>
      <x:c r="D21" s="20" t="str">
        <x:v>TE documentation references and process resources</x:v>
      </x:c>
      <x:c r="E21" s="20" t="str">
        <x:v>Program guidance</x:v>
      </x:c>
      <x:c r="F21" s="20" t="str">
        <x:v>Reviewed relevant sections</x:v>
      </x:c>
      <x:c r="G21" s="21" t="str">
        <x:v>https://csrc.nist.gov/projects/cryptographic-module-validation-program/140-3-resources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58" customHeight="1">
      <x:c r="A22" s="20" t="str">
        <x:v>SP 800-140B supplemental</x:v>
      </x:c>
      <x:c r="B22" s="20" t="str">
        <x:v>MIS, templates, tools, schemas</x:v>
      </x:c>
      <x:c r="C22" s="20" t="str">
        <x:v>Current web page</x:v>
      </x:c>
      <x:c r="D22" s="20" t="str">
        <x:v>Submission package formats and current resources</x:v>
      </x:c>
      <x:c r="E22" s="20" t="str">
        <x:v>Program process</x:v>
      </x:c>
      <x:c r="F22" s="20" t="str">
        <x:v>Reviewed 2026-10-02</x:v>
      </x:c>
      <x:c r="G22" s="21" t="str">
        <x:v>https://csrc.nist.gov/projects/cmvp/sp800-140b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58" customHeight="1">
      <x:c r="A23" s="20" t="str">
        <x:v>FIPS 197-upd1</x:v>
      </x:c>
      <x:c r="B23" s="20" t="str">
        <x:v>Advanced Encryption Standard</x:v>
      </x:c>
      <x:c r="C23" s="20" t="str">
        <x:v>2023 update</x:v>
      </x:c>
      <x:c r="D23" s="20" t="str">
        <x:v>AES algorithm</x:v>
      </x:c>
      <x:c r="E23" s="20" t="str">
        <x:v>Normative algorithm standard</x:v>
      </x:c>
      <x:c r="F23" s="20" t="str">
        <x:v>Applicable</x:v>
      </x:c>
      <x:c r="G23" s="21" t="str">
        <x:v>https://doi.org/10.6028/NIST.FIPS.197-upd1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58" customHeight="1">
      <x:c r="A24" s="20" t="str">
        <x:v>SP 800-38D</x:v>
      </x:c>
      <x:c r="B24" s="20" t="str">
        <x:v>GCM and GMAC</x:v>
      </x:c>
      <x:c r="C24" s="20" t="str">
        <x:v>2007</x:v>
      </x:c>
      <x:c r="D24" s="20" t="str">
        <x:v>AES-GCM mode and IV requirements</x:v>
      </x:c>
      <x:c r="E24" s="20" t="str">
        <x:v>Normative algorithm recommendation</x:v>
      </x:c>
      <x:c r="F24" s="20" t="str">
        <x:v>Applicable</x:v>
      </x:c>
      <x:c r="G24" s="21" t="str">
        <x:v>https://doi.org/10.6028/NIST.SP.800-38D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58" customHeight="1">
      <x:c r="A25" s="20" t="str">
        <x:v>FIPS 180-4</x:v>
      </x:c>
      <x:c r="B25" s="20" t="str">
        <x:v>Secure Hash Standard</x:v>
      </x:c>
      <x:c r="C25" s="20" t="str">
        <x:v>2015</x:v>
      </x:c>
      <x:c r="D25" s="20" t="str">
        <x:v>SHA-2 algorithms</x:v>
      </x:c>
      <x:c r="E25" s="20" t="str">
        <x:v>Normative algorithm standard</x:v>
      </x:c>
      <x:c r="F25" s="20" t="str">
        <x:v>Applicable</x:v>
      </x:c>
      <x:c r="G25" s="21" t="str">
        <x:v>https://doi.org/10.6028/NIST.FIPS.180-4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58" customHeight="1">
      <x:c r="A26" s="20" t="str">
        <x:v>FIPS 202</x:v>
      </x:c>
      <x:c r="B26" s="20" t="str">
        <x:v>SHA-3 Standard</x:v>
      </x:c>
      <x:c r="C26" s="20" t="str">
        <x:v>2015</x:v>
      </x:c>
      <x:c r="D26" s="20" t="str">
        <x:v>SHA-3 and SHAKE</x:v>
      </x:c>
      <x:c r="E26" s="20" t="str">
        <x:v>Normative algorithm standard</x:v>
      </x:c>
      <x:c r="F26" s="20" t="str">
        <x:v>Applicable</x:v>
      </x:c>
      <x:c r="G26" s="21" t="str">
        <x:v>https://doi.org/10.6028/NIST.FIPS.202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58" customHeight="1">
      <x:c r="A27" s="20" t="str">
        <x:v>FIPS 203</x:v>
      </x:c>
      <x:c r="B27" s="20" t="str">
        <x:v>ML-KEM</x:v>
      </x:c>
      <x:c r="C27" s="20" t="str">
        <x:v>2024</x:v>
      </x:c>
      <x:c r="D27" s="20" t="str">
        <x:v>ML-KEM algorithms and parameter sets</x:v>
      </x:c>
      <x:c r="E27" s="20" t="str">
        <x:v>Normative algorithm standard</x:v>
      </x:c>
      <x:c r="F27" s="20" t="str">
        <x:v>Applicable</x:v>
      </x:c>
      <x:c r="G27" s="21" t="str">
        <x:v>https://doi.org/10.6028/NIST.FIPS.203</x:v>
      </x:c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58" customHeight="1">
      <x:c r="A28" s="20" t="str">
        <x:v>SP 800-227</x:v>
      </x:c>
      <x:c r="B28" s="20" t="str">
        <x:v>Recommendations for KEMs</x:v>
      </x:c>
      <x:c r="C28" s="20" t="str">
        <x:v>2025</x:v>
      </x:c>
      <x:c r="D28" s="20" t="str">
        <x:v>KEM usage requirements</x:v>
      </x:c>
      <x:c r="E28" s="20" t="str">
        <x:v>Normative recommendation via 140D list</x:v>
      </x:c>
      <x:c r="F28" s="20" t="str">
        <x:v>Applicable</x:v>
      </x:c>
      <x:c r="G28" s="21" t="str">
        <x:v>https://doi.org/10.6028/NIST.SP.800-227</x:v>
      </x:c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58" customHeight="1">
      <x:c r="A29" s="20" t="str">
        <x:v>FIPS 204</x:v>
      </x:c>
      <x:c r="B29" s="20" t="str">
        <x:v>ML-DSA</x:v>
      </x:c>
      <x:c r="C29" s="20" t="str">
        <x:v>2024</x:v>
      </x:c>
      <x:c r="D29" s="20" t="str">
        <x:v>ML-DSA algorithms and parameter sets</x:v>
      </x:c>
      <x:c r="E29" s="20" t="str">
        <x:v>Normative algorithm standard</x:v>
      </x:c>
      <x:c r="F29" s="20" t="str">
        <x:v>Applicable</x:v>
      </x:c>
      <x:c r="G29" s="21" t="str">
        <x:v>https://doi.org/10.6028/NIST.FIPS.204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58" customHeight="1">
      <x:c r="A30" s="20" t="str">
        <x:v>SP 800-208</x:v>
      </x:c>
      <x:c r="B30" s="20" t="str">
        <x:v>Stateful Hash-Based Signatures</x:v>
      </x:c>
      <x:c r="C30" s="20" t="str">
        <x:v>2020</x:v>
      </x:c>
      <x:c r="D30" s="20" t="str">
        <x:v>LMS/HSS/XMSS/XMSSMT and module restrictions</x:v>
      </x:c>
      <x:c r="E30" s="20" t="str">
        <x:v>Normative recommendation via 140C/140D</x:v>
      </x:c>
      <x:c r="F30" s="20" t="str">
        <x:v>Applicable with scope blocker</x:v>
      </x:c>
      <x:c r="G30" s="21" t="str">
        <x:v>https://doi.org/10.6028/NIST.SP.800-208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58" customHeight="1">
      <x:c r="A31" s="20" t="str">
        <x:v>SP 800-90A Rev.1</x:v>
      </x:c>
      <x:c r="B31" s="20" t="str">
        <x:v>DRBG mechanisms</x:v>
      </x:c>
      <x:c r="C31" s="20" t="str">
        <x:v>2015</x:v>
      </x:c>
      <x:c r="D31" s="20" t="str">
        <x:v>Approved DRBG algorithms</x:v>
      </x:c>
      <x:c r="E31" s="20" t="str">
        <x:v>Conditional</x:v>
      </x:c>
      <x:c r="F31" s="20" t="str">
        <x:v>Review if internal RBG</x:v>
      </x:c>
      <x:c r="G31" s="21" t="str">
        <x:v>https://doi.org/10.6028/NIST.SP.800-90Ar1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58" customHeight="1">
      <x:c r="A32" s="20" t="str">
        <x:v>SP 800-90B</x:v>
      </x:c>
      <x:c r="B32" s="20" t="str">
        <x:v>Entropy sources</x:v>
      </x:c>
      <x:c r="C32" s="20" t="str">
        <x:v>2018</x:v>
      </x:c>
      <x:c r="D32" s="20" t="str">
        <x:v>Entropy design, health tests, validation</x:v>
      </x:c>
      <x:c r="E32" s="20" t="str">
        <x:v>Conditional</x:v>
      </x:c>
      <x:c r="F32" s="20" t="str">
        <x:v>Review if randomness in scope</x:v>
      </x:c>
      <x:c r="G32" s="21" t="str">
        <x:v>https://doi.org/10.6028/NIST.SP.800-90B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58" customHeight="1">
      <x:c r="A33" s="20" t="str">
        <x:v>SP 800-90C</x:v>
      </x:c>
      <x:c r="B33" s="20" t="str">
        <x:v>RBG constructions</x:v>
      </x:c>
      <x:c r="C33" s="20" t="str">
        <x:v>2025</x:v>
      </x:c>
      <x:c r="D33" s="20" t="str">
        <x:v>Approved RBG constructions</x:v>
      </x:c>
      <x:c r="E33" s="20" t="str">
        <x:v>Conditional</x:v>
      </x:c>
      <x:c r="F33" s="20" t="str">
        <x:v>Review if internal RBG</x:v>
      </x:c>
      <x:c r="G33" s="21" t="str">
        <x:v>https://doi.org/10.6028/NIST.SP.800-90C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58" customHeight="1">
      <x:c r="A34" s="20" t="str">
        <x:v>SP 800-133 Rev.2</x:v>
      </x:c>
      <x:c r="B34" s="20" t="str">
        <x:v>Cryptographic key generation</x:v>
      </x:c>
      <x:c r="C34" s="20" t="str">
        <x:v>2020</x:v>
      </x:c>
      <x:c r="D34" s="20" t="str">
        <x:v>Symmetric key generation and general key-generation requirements</x:v>
      </x:c>
      <x:c r="E34" s="20" t="str">
        <x:v>Conditional</x:v>
      </x:c>
      <x:c r="F34" s="20" t="str">
        <x:v>Applicable to key generation</x:v>
      </x:c>
      <x:c r="G34" s="21" t="str">
        <x:v>https://doi.org/10.6028/NIST.SP.800-133r2</x:v>
      </x:c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58" customHeight="1">
      <x:c r="A35" s="20" t="str">
        <x:v>SP 800-131A Rev.2</x:v>
      </x:c>
      <x:c r="B35" s="20" t="str">
        <x:v>Algorithm and key-length transitions</x:v>
      </x:c>
      <x:c r="C35" s="20" t="str">
        <x:v>2019</x:v>
      </x:c>
      <x:c r="D35" s="20" t="str">
        <x:v>Transition monitoring</x:v>
      </x:c>
      <x:c r="E35" s="20" t="str">
        <x:v>Normative transition reference</x:v>
      </x:c>
      <x:c r="F35" s="20" t="str">
        <x:v>Applicable</x:v>
      </x:c>
      <x:c r="G35" s="21" t="str">
        <x:v>https://doi.org/10.6028/NIST.SP.800-131Ar2</x:v>
      </x:c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58" customHeight="1">
      <x:c r="A36" s="20" t="str">
        <x:v>CAVP</x:v>
      </x:c>
      <x:c r="B36" s="20" t="str">
        <x:v>Cryptographic Algorithm Validation Program</x:v>
      </x:c>
      <x:c r="C36" s="20" t="str">
        <x:v>Current</x:v>
      </x:c>
      <x:c r="D36" s="20" t="str">
        <x:v>Algorithm validation program</x:v>
      </x:c>
      <x:c r="E36" s="20" t="str">
        <x:v>Program requirement</x:v>
      </x:c>
      <x:c r="F36" s="20" t="str">
        <x:v>Applicable</x:v>
      </x:c>
      <x:c r="G36" s="21" t="str">
        <x:v>https://csrc.nist.gov/projects/cryptographic-algorithm-validation-program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58" customHeight="1">
      <x:c r="A37" s="20" t="str">
        <x:v>ACVP documentation</x:v>
      </x:c>
      <x:c r="B37" s="20" t="str">
        <x:v>Automated algorithm test specifications</x:v>
      </x:c>
      <x:c r="C37" s="20" t="str">
        <x:v>Current work products</x:v>
      </x:c>
      <x:c r="D37" s="20" t="str">
        <x:v>JSON capabilities/vectors for AES, hashes, PQC, DRBG</x:v>
      </x:c>
      <x:c r="E37" s="20" t="str">
        <x:v>Testing protocol</x:v>
      </x:c>
      <x:c r="F37" s="20" t="str">
        <x:v>Applicable; recheck at testing</x:v>
      </x:c>
      <x:c r="G37" s="21" t="str">
        <x:v>https://pages.nist.gov/ACVP/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58" customHeight="1">
      <x:c r="A38" s="20" t="str">
        <x:v>ESV</x:v>
      </x:c>
      <x:c r="B38" s="20" t="str">
        <x:v>Entropy Source Validation</x:v>
      </x:c>
      <x:c r="C38" s="20" t="str">
        <x:v>Current</x:v>
      </x:c>
      <x:c r="D38" s="20" t="str">
        <x:v>Entropy validation process and artifacts</x:v>
      </x:c>
      <x:c r="E38" s="20" t="str">
        <x:v>Program process</x:v>
      </x:c>
      <x:c r="F38" s="20" t="str">
        <x:v>Conditional</x:v>
      </x:c>
      <x:c r="G38" s="21" t="str">
        <x:v>https://csrc.nist.gov/projects/cryptographic-module-validation-program/entropy-validations/esv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c86cca443fed40a9"/>
  </x:tableParts>
</x:worksheet>
</file>

<file path=xl/worksheets/sheet8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Read Me — Scope, Method, and Limitations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This workbook is a planning and audit-traceability aid, not a CMVP determination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60" customHeight="1">
      <x:c r="A6" s="25" t="str">
        <x:v>Purpose</x:v>
      </x:c>
      <x:c r="B6" s="20" t="str">
        <x:v>Identify NIST/CMVP requirements and evidence for an initial FIPS 140-3 Level 1 pure-software cryptographic module containing a deliberately narrow CNSA-oriented algorithm set.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0" customHeight="1">
      <x:c r="A7" s="25" t="str">
        <x:v>Snapshot date</x:v>
      </x:c>
      <x:c r="B7" s="20" t="str">
        <x:v>2026-10-02. Current guidance reviewed includes FIPS 140-3 IG dated 2026-08-19 and CMVP Management Manual dated 2026-04-09.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0" customHeight="1">
      <x:c r="A8" s="25" t="str">
        <x:v>Assumed embodiment</x:v>
      </x:c>
      <x:c r="B8" s="20" t="str">
        <x:v>A pure software cryptographic module executing on a general-purpose platform, targeting Security Level 1 in every requirement area, with a modifiable operational environment.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0" customHeight="1">
      <x:c r="A9" s="25" t="str">
        <x:v>Assumed services</x:v>
      </x:c>
      <x:c r="B9" s="20" t="str">
        <x:v>AES-256-GCM; SHA-384 and possibly SHA-512; FIPS 202 functions where exposed or embedded; ML-KEM-1024; ML-DSA-87; verification-only consideration for LMS/HSS and XMSS/XMSSMT.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0" customHeight="1">
      <x:c r="A10" s="25" t="str">
        <x:v>Critical scope exclusion</x:v>
      </x:c>
      <x:c r="B10" s="20" t="str">
        <x:v>SP 800-208 key generation and signature generation for LMS/HSS and XMSS/XMSSMT cannot be approved inside a Level 1 software-only module. Current guidance requires a hardware cryptographic module with Level 3 or higher physical security and a non-modifiable or limited OE.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0" customHeight="1">
      <x:c r="A11" s="25" t="str">
        <x:v>ISO baseline</x:v>
      </x:c>
      <x:c r="B11" s="20" t="str">
        <x:v>NIST supplied the historical controlling editions: INCITS/ISO/IEC 19790:2012(2014), corrected 2015-12-15, and ISO/IEC 24759:2017. The ISO Level 1 Index records all 240 assertions expressly applicable at Level 1 and their 229 VE / 344 TE identifiers without reproducing licensed text.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60" customHeight="1">
      <x:c r="A12" s="25" t="str">
        <x:v>Use of 2025 ISO editions</x:v>
      </x:c>
      <x:c r="B12" s="20" t="str">
        <x:v>Treat the 2025 editions and change notes as research aids until CMVP completes its reconciliation. The historical editions supplied by NIST remain this workbook's validation baseline.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60" customHeight="1">
      <x:c r="A13" s="25" t="str">
        <x:v>Atomicity</x:v>
      </x:c>
      <x:c r="B13" s="20" t="str">
        <x:v>The ISO Level 1 Index gives every Level 1 assertion its own row and records all subordinate VE/TE identifiers. Project evidence remains grouped by assertion; split a VE or TE into a separate project test case whenever it calls for an independently demonstrable result.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60" customHeight="1">
      <x:c r="A14" s="25" t="str">
        <x:v>Algorithm testing</x:v>
      </x:c>
      <x:c r="B14" s="20" t="str">
        <x:v>CAVP/ACVP validation is necessary but not sufficient. The CSTL must establish compliance with algorithm-standard shall-statements that the algorithm test suite does not cover.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60" customHeight="1">
      <x:c r="A15" s="25" t="str">
        <x:v>Mutable guidance</x:v>
      </x:c>
      <x:c r="B15" s="20" t="str">
        <x:v>The Implementation Guidance, Management Manual, approved-function/SSP-method web lists, MIS schema, templates, and ACVP specifications change. Re-baseline at architecture freeze, CSTL engagement, test start, and submission.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0" customHeight="1">
      <x:c r="A16" s="25" t="str">
        <x:v>Recommended next decision</x:v>
      </x:c>
      <x:c r="B16" s="20" t="str">
        <x:v>Choose the randomness architecture early: validated internal entropy + RBG, reuse/bind to an approved source where permitted, or external randomness with the applicable caveat and SSP-entry treatment. This decision materially affects OEs, documentation, and cost.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60" customHeight="1">
      <x:c r="A17" s="25" t="str">
        <x:v>Recommended review workflow</x:v>
      </x:c>
      <x:c r="B17" s="20" t="str">
        <x:v>1) Review each ISO Level 1 Index applicability decision at architecture freeze; 2) reconcile it with the cited NIST modification and current IG; 3) assign evidence owners; 4) link each applicable row to design, code, tests, and controlled documents; 5) obtain CSTL confirmation when a funded validation begins.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60" customHeight="1">
      <x:c r="A18" s="25" t="str">
        <x:v>Citation convention</x:v>
      </x:c>
      <x:c r="B18" s="20" t="str">
        <x:v>Primary citation identifies the NIST/CMVP section that creates, modifies, or clarifies the listed obligation. Additional citation identifies the ISO dependency or related authority. Citation to an ISO section is not a claim that its full text was available to this review.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60" customHeight="1">
      <x:c r="A19" s="26" t="str">
        <x:v>Status convention</x:v>
      </x:c>
      <x:c r="B19" s="28" t="str">
        <x:v>Open = action remains; ISO mapped = the controlling base assertion is indexed; Blocked = incompatible with the assumed Level 1 software scope; Complete should be used only after evidence and independent review exist.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B2"/>
    <x:mergeCell ref="A3:B3"/>
  </x:mergeCells>
  <x:pageMargins left="0.7" right="0.7" top="0.75" bottom="0.75" header="0.3" footer="0.3"/>
</x:worksheet>
</file>